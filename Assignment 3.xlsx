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\Downloads\"/>
    </mc:Choice>
  </mc:AlternateContent>
  <xr:revisionPtr revIDLastSave="0" documentId="8_{672E04B4-7B73-4E92-8D64-E4111B308D4A}" xr6:coauthVersionLast="47" xr6:coauthVersionMax="47" xr10:uidLastSave="{00000000-0000-0000-0000-000000000000}"/>
  <bookViews>
    <workbookView xWindow="-108" yWindow="-108" windowWidth="23256" windowHeight="12456" xr2:uid="{0F3D6EF1-C3AA-404A-9B7D-0E3B9BD448B9}"/>
  </bookViews>
  <sheets>
    <sheet name="Sales Data" sheetId="1" r:id="rId1"/>
    <sheet name="Sheet2" sheetId="2" r:id="rId2"/>
    <sheet name="Sheet3" sheetId="3" r:id="rId3"/>
    <sheet name="Sheet5" sheetId="5" r:id="rId4"/>
    <sheet name="Sheet4" sheetId="4" r:id="rId5"/>
    <sheet name="Sheet6" sheetId="6" r:id="rId6"/>
  </sheets>
  <definedNames>
    <definedName name="YDATA">'Sales Data'!$B$2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L2" i="1"/>
  <c r="M2" i="1" a="1"/>
  <c r="M2" i="1" s="1"/>
  <c r="L42" i="1"/>
  <c r="K2" i="1" a="1"/>
  <c r="K2" i="1" s="1"/>
  <c r="J2" i="1" a="1"/>
  <c r="J2" i="1" s="1"/>
  <c r="I2" i="1" a="1"/>
  <c r="I2" i="1" s="1"/>
  <c r="I42" i="1" s="1"/>
  <c r="H2" i="1" a="1"/>
  <c r="H2" i="1" s="1"/>
  <c r="G2" i="1" a="1"/>
  <c r="G2" i="1" s="1"/>
  <c r="F42" i="1" l="1"/>
  <c r="H42" i="1"/>
  <c r="J42" i="1"/>
  <c r="K42" i="1"/>
  <c r="G42" i="1"/>
  <c r="M4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<sst xmlns="http://schemas.openxmlformats.org/spreadsheetml/2006/main" count="94" uniqueCount="55">
  <si>
    <t>Employee ID</t>
  </si>
  <si>
    <t>year</t>
  </si>
  <si>
    <t>Salary</t>
  </si>
  <si>
    <t>Sales</t>
  </si>
  <si>
    <t>Camission on sales</t>
  </si>
  <si>
    <t>Total Sales</t>
  </si>
  <si>
    <t>Avreage Sales</t>
  </si>
  <si>
    <t>Least Sales</t>
  </si>
  <si>
    <t>Highest Sales</t>
  </si>
  <si>
    <t>Count Employee ID</t>
  </si>
  <si>
    <t>CountA Employee ID</t>
  </si>
  <si>
    <t>CountBlank Employee ID</t>
  </si>
  <si>
    <t>Employees head countSales</t>
  </si>
  <si>
    <t>emp1</t>
  </si>
  <si>
    <t>emp2</t>
  </si>
  <si>
    <t>emp3</t>
  </si>
  <si>
    <t>emp4</t>
  </si>
  <si>
    <t>emp5</t>
  </si>
  <si>
    <t>emp6</t>
  </si>
  <si>
    <t>emp7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</si>
  <si>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</si>
  <si>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</si>
  <si>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</si>
  <si>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</si>
  <si>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</si>
  <si>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</si>
  <si>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</si>
  <si>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</si>
  <si>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</si>
  <si>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</si>
  <si>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</si>
  <si>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</si>
  <si>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</si>
  <si>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</si>
  <si>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</si>
  <si>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</si>
  <si>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</si>
  <si>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</si>
  <si>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</si>
  <si>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</si>
  <si>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</si>
  <si>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</si>
  <si>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</si>
  <si>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</si>
  <si>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</si>
  <si>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</si>
  <si>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</si>
  <si>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</si>
  <si>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</si>
  <si>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</si>
  <si>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</si>
  <si>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Total</t>
  </si>
  <si>
    <t>emp8</t>
  </si>
  <si>
    <t>emp9</t>
  </si>
  <si>
    <t>Extra data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</si>
</sst>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&quot;₹&quot;\ * #,##0.0_ ;_ &quot;₹&quot;\ * \-#,##0.0_ ;_ &quot;₹&quot;\ * &quot;-&quot;??_ ;_ @_ "/>
    <numFmt numFmtId="166" formatCode="_ &quot;₹&quot;\ * #,##0_ ;_ &quot;₹&quot;\ * \-#,##0_ ;_ &quot;₹&quot;\ * &quot;-&quot;??_ ;_ @_ "/>
    <numFmt numFmtId="167" formatCode="[$$-C09]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0"/>
      <name val="Times New Roman"/>
      <family val="1"/>
    </font>
    <font>
      <b/>
      <sz val="15"/>
      <color theme="0"/>
      <name val="Times New Roman"/>
      <family val="1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/>
    </xf>
    <xf numFmtId="0" fontId="5" fillId="2" borderId="1" xfId="3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166" fontId="5" fillId="2" borderId="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top"/>
    </xf>
    <xf numFmtId="166" fontId="2" fillId="3" borderId="1" xfId="1" applyNumberFormat="1" applyFont="1" applyFill="1" applyBorder="1" applyAlignment="1">
      <alignment horizontal="center" vertical="top"/>
    </xf>
    <xf numFmtId="166" fontId="2" fillId="3" borderId="1" xfId="3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/>
    </xf>
    <xf numFmtId="166" fontId="2" fillId="3" borderId="1" xfId="1" applyNumberFormat="1" applyFont="1" applyFill="1" applyBorder="1" applyAlignment="1">
      <alignment horizontal="center"/>
    </xf>
    <xf numFmtId="49" fontId="2" fillId="3" borderId="2" xfId="1" applyNumberFormat="1" applyFont="1" applyFill="1" applyBorder="1" applyAlignment="1">
      <alignment horizontal="center" vertical="center"/>
    </xf>
    <xf numFmtId="0" fontId="0" fillId="3" borderId="0" xfId="0" applyFill="1"/>
    <xf numFmtId="166" fontId="0" fillId="3" borderId="0" xfId="0" applyNumberFormat="1" applyFill="1"/>
    <xf numFmtId="167" fontId="2" fillId="3" borderId="1" xfId="3" applyNumberFormat="1" applyFont="1" applyFill="1" applyBorder="1" applyAlignment="1">
      <alignment horizontal="center"/>
    </xf>
    <xf numFmtId="167" fontId="2" fillId="3" borderId="1" xfId="1" applyNumberFormat="1" applyFont="1" applyFill="1" applyBorder="1" applyAlignment="1">
      <alignment horizontal="center"/>
    </xf>
    <xf numFmtId="167" fontId="2" fillId="3" borderId="1" xfId="1" applyNumberFormat="1" applyFont="1" applyFill="1" applyBorder="1" applyAlignment="1">
      <alignment horizontal="center" vertical="top"/>
    </xf>
    <xf numFmtId="165" fontId="2" fillId="3" borderId="1" xfId="3" applyNumberFormat="1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166" fontId="2" fillId="3" borderId="1" xfId="1" applyNumberFormat="1" applyFont="1" applyFill="1" applyBorder="1" applyAlignment="1">
      <alignment horizontal="center" wrapText="1"/>
    </xf>
    <xf numFmtId="0" fontId="7" fillId="0" borderId="3" xfId="0" applyFont="1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6" fillId="0" borderId="5" xfId="0" applyFont="1" applyBorder="1"/>
  </cellXfs>
  <cellStyles count="4">
    <cellStyle name="Comma 2" xfId="2" xr:uid="{9FD3B52C-241E-4455-9C8F-A6AC059C4202}"/>
    <cellStyle name="Currency 2" xfId="3" xr:uid="{19AED379-718F-45B0-9E83-40246D5256A3}"/>
    <cellStyle name="Normal" xfId="0" builtinId="0"/>
    <cellStyle name="Normal 2" xfId="1" xr:uid="{B8A15750-C30C-4FDF-9CC0-D91C7A367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F78E-7F2C-4F77-9FB3-4441E0A79541}">
  <dimension ref="A1:R42"/>
  <sheetViews>
    <sheetView tabSelected="1" workbookViewId="0">
      <selection activeCell="O4" sqref="O4"/>
    </sheetView>
  </sheetViews>
  <sheetFormatPr defaultRowHeight="14.4"/>
  <cols>
    <col min="1" max="1" width="12.109375" bestFit="1" customWidth="1"/>
    <col min="2" max="2" width="8.21875" customWidth="1"/>
    <col min="3" max="3" width="12" bestFit="1" customWidth="1"/>
    <col min="4" max="4" width="13.6640625" bestFit="1" customWidth="1"/>
    <col min="5" max="5" width="22.77734375" bestFit="1" customWidth="1"/>
    <col min="6" max="6" width="15.21875" bestFit="1" customWidth="1"/>
    <col min="7" max="7" width="16.88671875" bestFit="1" customWidth="1"/>
    <col min="8" max="8" width="13.88671875" bestFit="1" customWidth="1"/>
    <col min="9" max="9" width="16.44140625" bestFit="1" customWidth="1"/>
    <col min="10" max="10" width="24.21875" bestFit="1" customWidth="1"/>
    <col min="11" max="11" width="26.21875" bestFit="1" customWidth="1"/>
    <col min="12" max="12" width="31.21875" bestFit="1" customWidth="1"/>
    <col min="13" max="13" width="32.88671875" bestFit="1" customWidth="1"/>
    <col min="14" max="14" width="23" customWidth="1"/>
    <col min="15" max="15" width="22.6640625" customWidth="1"/>
    <col min="18" max="18" width="9.21875" bestFit="1" customWidth="1"/>
  </cols>
  <sheetData>
    <row r="1" spans="1:18" ht="18.60000000000000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5" t="s">
        <v>12</v>
      </c>
    </row>
    <row r="2" spans="1:18" ht="15.6">
      <c r="A2" s="8" t="s">
        <v>13</v>
      </c>
      <c r="B2" s="9">
        <v>2023</v>
      </c>
      <c r="C2" s="10">
        <v>17279</v>
      </c>
      <c r="D2" s="18">
        <v>25000</v>
      </c>
      <c r="E2" s="21">
        <v>500</v>
      </c>
      <c r="F2" s="11" cm="1">
        <f t="array" ref="F2:F41">D2:D41</f>
        <v>25000</v>
      </c>
      <c r="G2" s="11" cm="1">
        <f t="array" ref="G2:G41">D2:D41</f>
        <v>25000</v>
      </c>
      <c r="H2" s="11" cm="1">
        <f t="array" ref="H2:H41">D2:D41</f>
        <v>25000</v>
      </c>
      <c r="I2" s="11" cm="1">
        <f t="array" ref="I2:I41">D2:D41</f>
        <v>25000</v>
      </c>
      <c r="J2" s="8" t="str" cm="1">
        <f t="array" ref="J2:J41">A2:A41</f>
        <v>emp1</v>
      </c>
      <c r="K2" s="8" t="str" cm="1">
        <f t="array" ref="K2:K41">A2:A41</f>
        <v>emp1</v>
      </c>
      <c r="L2" s="8" t="str">
        <f>K2</f>
        <v>emp1</v>
      </c>
      <c r="M2" s="11" cm="1">
        <f t="array" ref="M2:M41">D2:D41</f>
        <v>25000</v>
      </c>
    </row>
    <row r="3" spans="1:18" ht="16.2" thickBot="1">
      <c r="A3" s="8" t="s">
        <v>14</v>
      </c>
      <c r="B3" s="13">
        <v>2022</v>
      </c>
      <c r="C3" s="10">
        <v>15214</v>
      </c>
      <c r="D3" s="19">
        <v>12000</v>
      </c>
      <c r="E3" s="21">
        <v>240</v>
      </c>
      <c r="F3" s="14">
        <v>12000</v>
      </c>
      <c r="G3" s="14">
        <v>12000</v>
      </c>
      <c r="H3" s="14">
        <v>12000</v>
      </c>
      <c r="I3" s="14">
        <v>12000</v>
      </c>
      <c r="J3" s="12" t="str">
        <v>emp2</v>
      </c>
      <c r="K3" s="12" t="str">
        <v>emp2</v>
      </c>
      <c r="L3" s="8" t="s">
        <v>14</v>
      </c>
      <c r="M3" s="14">
        <v>12000</v>
      </c>
    </row>
    <row r="4" spans="1:18" ht="21.6" thickBot="1">
      <c r="A4" s="8" t="s">
        <v>15</v>
      </c>
      <c r="B4" s="13">
        <v>2021</v>
      </c>
      <c r="C4" s="10">
        <v>13937</v>
      </c>
      <c r="D4" s="19">
        <v>530000</v>
      </c>
      <c r="E4" s="21">
        <v>10600</v>
      </c>
      <c r="F4" s="14">
        <v>530000</v>
      </c>
      <c r="G4" s="14">
        <v>530000</v>
      </c>
      <c r="H4" s="14">
        <v>530000</v>
      </c>
      <c r="I4" s="14">
        <v>530000</v>
      </c>
      <c r="J4" s="12" t="str">
        <v>emp3</v>
      </c>
      <c r="K4" s="12" t="str">
        <v>emp3</v>
      </c>
      <c r="L4" s="8" t="s">
        <v>15</v>
      </c>
      <c r="M4" s="14">
        <v>530000</v>
      </c>
      <c r="O4" s="24" t="s">
        <v>54</v>
      </c>
      <c r="P4" s="25"/>
      <c r="Q4" s="26"/>
      <c r="R4" s="27">
        <v>1234</v>
      </c>
    </row>
    <row r="5" spans="1:18" ht="15.6">
      <c r="A5" s="8" t="s">
        <v>16</v>
      </c>
      <c r="B5" s="13">
        <v>2020</v>
      </c>
      <c r="C5" s="10">
        <v>19175</v>
      </c>
      <c r="D5" s="20">
        <v>41000</v>
      </c>
      <c r="E5" s="21">
        <v>820</v>
      </c>
      <c r="F5" s="10">
        <v>41000</v>
      </c>
      <c r="G5" s="10">
        <v>41000</v>
      </c>
      <c r="H5" s="10">
        <v>41000</v>
      </c>
      <c r="I5" s="10">
        <v>41000</v>
      </c>
      <c r="J5" s="12" t="str">
        <v>emp4</v>
      </c>
      <c r="K5" s="12" t="str">
        <v>emp4</v>
      </c>
      <c r="L5" s="8" t="s">
        <v>16</v>
      </c>
      <c r="M5" s="10">
        <v>41000</v>
      </c>
    </row>
    <row r="6" spans="1:18" ht="15.6">
      <c r="A6" s="8" t="s">
        <v>17</v>
      </c>
      <c r="B6" s="13">
        <v>2019</v>
      </c>
      <c r="C6" s="10">
        <v>16129</v>
      </c>
      <c r="D6" s="20">
        <v>380000</v>
      </c>
      <c r="E6" s="21">
        <v>7600</v>
      </c>
      <c r="F6" s="10">
        <v>380000</v>
      </c>
      <c r="G6" s="10">
        <v>380000</v>
      </c>
      <c r="H6" s="10">
        <v>380000</v>
      </c>
      <c r="I6" s="10">
        <v>380000</v>
      </c>
      <c r="J6" s="12" t="str">
        <v>emp5</v>
      </c>
      <c r="K6" s="12" t="str">
        <v>emp5</v>
      </c>
      <c r="L6" s="8" t="s">
        <v>17</v>
      </c>
      <c r="M6" s="10">
        <v>380000</v>
      </c>
    </row>
    <row r="7" spans="1:18" ht="15.6">
      <c r="A7" s="8" t="s">
        <v>18</v>
      </c>
      <c r="B7" s="13">
        <v>2018</v>
      </c>
      <c r="C7" s="10">
        <v>16081</v>
      </c>
      <c r="D7" s="20">
        <v>32000</v>
      </c>
      <c r="E7" s="21">
        <v>640</v>
      </c>
      <c r="F7" s="10">
        <v>32000</v>
      </c>
      <c r="G7" s="10">
        <v>32000</v>
      </c>
      <c r="H7" s="10">
        <v>32000</v>
      </c>
      <c r="I7" s="10">
        <v>32000</v>
      </c>
      <c r="J7" s="12" t="str">
        <v>emp6</v>
      </c>
      <c r="K7" s="12" t="str">
        <v>emp6</v>
      </c>
      <c r="L7" s="8" t="s">
        <v>18</v>
      </c>
      <c r="M7" s="10">
        <v>32000</v>
      </c>
    </row>
    <row r="8" spans="1:18" ht="15.6">
      <c r="A8" s="8" t="s">
        <v>19</v>
      </c>
      <c r="B8" s="13">
        <v>2017</v>
      </c>
      <c r="C8" s="10">
        <v>19490</v>
      </c>
      <c r="D8" s="20">
        <v>250000</v>
      </c>
      <c r="E8" s="21">
        <v>5000</v>
      </c>
      <c r="F8" s="10">
        <v>250000</v>
      </c>
      <c r="G8" s="10">
        <v>250000</v>
      </c>
      <c r="H8" s="10">
        <v>250000</v>
      </c>
      <c r="I8" s="10">
        <v>250000</v>
      </c>
      <c r="J8" s="12" t="str">
        <v>emp7</v>
      </c>
      <c r="K8" s="12" t="str">
        <v>emp7</v>
      </c>
      <c r="L8" s="8" t="s">
        <v>19</v>
      </c>
      <c r="M8" s="10">
        <v>250000</v>
      </c>
    </row>
    <row r="9" spans="1:18" ht="15.6">
      <c r="A9" s="8" t="s">
        <v>52</v>
      </c>
      <c r="B9" s="13">
        <v>2016</v>
      </c>
      <c r="C9" s="10">
        <v>14767</v>
      </c>
      <c r="D9" s="20">
        <v>358571.42857142899</v>
      </c>
      <c r="E9" s="21">
        <v>7171.4285714285797</v>
      </c>
      <c r="F9" s="10">
        <v>358571.42857142899</v>
      </c>
      <c r="G9" s="10">
        <v>358571.42857142899</v>
      </c>
      <c r="H9" s="10">
        <v>358571.42857142899</v>
      </c>
      <c r="I9" s="10">
        <v>358571.42857142899</v>
      </c>
      <c r="J9" s="12" t="str">
        <v>emp8</v>
      </c>
      <c r="K9" s="12" t="str">
        <v>emp8</v>
      </c>
      <c r="L9" s="8" t="s">
        <v>52</v>
      </c>
      <c r="M9" s="10">
        <v>358571.42857142899</v>
      </c>
    </row>
    <row r="10" spans="1:18" ht="15.6">
      <c r="A10" s="8" t="s">
        <v>53</v>
      </c>
      <c r="B10" s="9">
        <v>2015</v>
      </c>
      <c r="C10" s="10">
        <v>15474</v>
      </c>
      <c r="D10" s="20">
        <v>36750</v>
      </c>
      <c r="E10" s="21">
        <v>735</v>
      </c>
      <c r="F10" s="10">
        <v>36750</v>
      </c>
      <c r="G10" s="10">
        <v>36750</v>
      </c>
      <c r="H10" s="10">
        <v>36750</v>
      </c>
      <c r="I10" s="10">
        <v>36750</v>
      </c>
      <c r="J10" s="12" t="str">
        <v>emp9</v>
      </c>
      <c r="K10" s="12" t="str">
        <v>emp9</v>
      </c>
      <c r="L10" s="8" t="s">
        <v>53</v>
      </c>
      <c r="M10" s="10">
        <v>36750</v>
      </c>
    </row>
    <row r="11" spans="1:18" ht="15.6">
      <c r="A11" s="8" t="s">
        <v>20</v>
      </c>
      <c r="B11" s="9">
        <v>2014</v>
      </c>
      <c r="C11" s="10">
        <v>15124</v>
      </c>
      <c r="D11" s="20">
        <v>376428.57142857101</v>
      </c>
      <c r="E11" s="21">
        <v>7528.5714285714203</v>
      </c>
      <c r="F11" s="10">
        <v>376428.57142857101</v>
      </c>
      <c r="G11" s="10">
        <v>376428.57142857101</v>
      </c>
      <c r="H11" s="10">
        <v>376428.57142857101</v>
      </c>
      <c r="I11" s="10">
        <v>376428.57142857101</v>
      </c>
      <c r="J11" s="12" t="str">
        <v>emp10</v>
      </c>
      <c r="K11" s="12" t="str">
        <v>emp10</v>
      </c>
      <c r="L11" s="8" t="s">
        <v>20</v>
      </c>
      <c r="M11" s="10">
        <v>376428.57142857101</v>
      </c>
    </row>
    <row r="12" spans="1:18" ht="15.6">
      <c r="A12" s="8" t="s">
        <v>21</v>
      </c>
      <c r="B12" s="9">
        <v>2013</v>
      </c>
      <c r="C12" s="10">
        <v>19834</v>
      </c>
      <c r="D12" s="20">
        <v>385357.14285714302</v>
      </c>
      <c r="E12" s="21">
        <v>7707.1428571428605</v>
      </c>
      <c r="F12" s="10">
        <v>385357.14285714302</v>
      </c>
      <c r="G12" s="10">
        <v>385357.14285714302</v>
      </c>
      <c r="H12" s="10">
        <v>385357.14285714302</v>
      </c>
      <c r="I12" s="10">
        <v>385357.14285714302</v>
      </c>
      <c r="J12" s="12" t="str">
        <v>emp11</v>
      </c>
      <c r="K12" s="12" t="str">
        <v>emp11</v>
      </c>
      <c r="L12" s="8" t="s">
        <v>21</v>
      </c>
      <c r="M12" s="10">
        <v>385357.14285714302</v>
      </c>
    </row>
    <row r="13" spans="1:18" ht="15.6">
      <c r="A13" s="8" t="s">
        <v>22</v>
      </c>
      <c r="B13" s="9">
        <v>2012</v>
      </c>
      <c r="C13" s="10">
        <v>12822</v>
      </c>
      <c r="D13" s="20">
        <v>39425.714257140004</v>
      </c>
      <c r="E13" s="21">
        <v>788.51428514280008</v>
      </c>
      <c r="F13" s="10">
        <v>39425.714257140004</v>
      </c>
      <c r="G13" s="10">
        <v>39425.714257140004</v>
      </c>
      <c r="H13" s="10">
        <v>39425.714257140004</v>
      </c>
      <c r="I13" s="10">
        <v>39425.714257140004</v>
      </c>
      <c r="J13" s="12" t="str">
        <v>emp12</v>
      </c>
      <c r="K13" s="12" t="str">
        <v>emp12</v>
      </c>
      <c r="L13" s="8" t="s">
        <v>22</v>
      </c>
      <c r="M13" s="10">
        <v>39425.714257140004</v>
      </c>
    </row>
    <row r="14" spans="1:18" ht="15.6">
      <c r="A14" s="8" t="s">
        <v>23</v>
      </c>
      <c r="B14" s="9">
        <v>2011</v>
      </c>
      <c r="C14" s="10">
        <v>16840</v>
      </c>
      <c r="D14" s="19">
        <v>403214.28571428597</v>
      </c>
      <c r="E14" s="21">
        <v>8064.2857142857192</v>
      </c>
      <c r="F14" s="14">
        <v>403214.28571428597</v>
      </c>
      <c r="G14" s="14">
        <v>403214.28571428597</v>
      </c>
      <c r="H14" s="14">
        <v>403214.28571428597</v>
      </c>
      <c r="I14" s="14">
        <v>403214.28571428597</v>
      </c>
      <c r="J14" s="12" t="str">
        <v>emp13</v>
      </c>
      <c r="K14" s="12" t="str">
        <v>emp13</v>
      </c>
      <c r="L14" s="8" t="s">
        <v>23</v>
      </c>
      <c r="M14" s="14">
        <v>403214.28571428597</v>
      </c>
    </row>
    <row r="15" spans="1:18" ht="15.6">
      <c r="A15" s="8" t="s">
        <v>24</v>
      </c>
      <c r="B15" s="9">
        <v>2010</v>
      </c>
      <c r="C15" s="10">
        <v>12239</v>
      </c>
      <c r="D15" s="18">
        <v>824.25714285716003</v>
      </c>
      <c r="E15" s="22">
        <v>41212.857142858003</v>
      </c>
      <c r="F15" s="10">
        <v>824.25714285716003</v>
      </c>
      <c r="G15" s="10">
        <v>824.25714285716003</v>
      </c>
      <c r="H15" s="10">
        <v>824.25714285716003</v>
      </c>
      <c r="I15" s="10">
        <v>824.25714285716003</v>
      </c>
      <c r="J15" s="12" t="str">
        <v>emp14</v>
      </c>
      <c r="K15" s="12" t="str">
        <v>emp14</v>
      </c>
      <c r="L15" s="8" t="s">
        <v>24</v>
      </c>
      <c r="M15" s="10">
        <v>824.25714285716003</v>
      </c>
    </row>
    <row r="16" spans="1:18" ht="15.6">
      <c r="A16" s="8" t="s">
        <v>25</v>
      </c>
      <c r="B16" s="9">
        <v>2009</v>
      </c>
      <c r="C16" s="10">
        <v>17474</v>
      </c>
      <c r="D16" s="18">
        <v>5020.4109888854</v>
      </c>
      <c r="E16" s="22">
        <v>251020.54944427</v>
      </c>
      <c r="F16" s="10">
        <v>5020.4109888854</v>
      </c>
      <c r="G16" s="10">
        <v>5020.4109888854</v>
      </c>
      <c r="H16" s="10">
        <v>5020.4109888854</v>
      </c>
      <c r="I16" s="10">
        <v>5020.4109888854</v>
      </c>
      <c r="J16" s="12" t="str">
        <v>emp15</v>
      </c>
      <c r="K16" s="12" t="str">
        <v>emp15</v>
      </c>
      <c r="L16" s="8" t="s">
        <v>25</v>
      </c>
      <c r="M16" s="10">
        <v>5020.4109888854</v>
      </c>
    </row>
    <row r="17" spans="1:13" ht="15.6">
      <c r="A17" s="8" t="s">
        <v>26</v>
      </c>
      <c r="B17" s="9">
        <v>2008</v>
      </c>
      <c r="C17" s="10">
        <v>11861</v>
      </c>
      <c r="D17" s="18">
        <v>5135.3305493136604</v>
      </c>
      <c r="E17" s="22">
        <v>256766.527465683</v>
      </c>
      <c r="F17" s="10">
        <v>5135.3305493136604</v>
      </c>
      <c r="G17" s="10">
        <v>5135.3305493136604</v>
      </c>
      <c r="H17" s="10">
        <v>5135.3305493136604</v>
      </c>
      <c r="I17" s="10">
        <v>5135.3305493136604</v>
      </c>
      <c r="J17" s="12" t="str">
        <v>emp16</v>
      </c>
      <c r="K17" s="12" t="str">
        <v>emp16</v>
      </c>
      <c r="L17" s="8" t="s">
        <v>26</v>
      </c>
      <c r="M17" s="10">
        <v>5135.3305493136604</v>
      </c>
    </row>
    <row r="18" spans="1:13" ht="15.6">
      <c r="A18" s="8" t="s">
        <v>27</v>
      </c>
      <c r="B18" s="9">
        <v>2007</v>
      </c>
      <c r="C18" s="10">
        <v>12032</v>
      </c>
      <c r="D18" s="18">
        <v>5250.2501097418999</v>
      </c>
      <c r="E18" s="22">
        <v>262512.50548709498</v>
      </c>
      <c r="F18" s="10">
        <v>5250.2501097418999</v>
      </c>
      <c r="G18" s="10">
        <v>5250.2501097418999</v>
      </c>
      <c r="H18" s="10">
        <v>5250.2501097418999</v>
      </c>
      <c r="I18" s="10">
        <v>5250.2501097418999</v>
      </c>
      <c r="J18" s="12" t="str">
        <v>emp17</v>
      </c>
      <c r="K18" s="12" t="str">
        <v>emp17</v>
      </c>
      <c r="L18" s="8" t="s">
        <v>27</v>
      </c>
      <c r="M18" s="10">
        <v>5250.2501097418999</v>
      </c>
    </row>
    <row r="19" spans="1:13" ht="15.6">
      <c r="A19" s="8" t="s">
        <v>28</v>
      </c>
      <c r="B19" s="9">
        <v>2006</v>
      </c>
      <c r="C19" s="10">
        <v>11343</v>
      </c>
      <c r="D19" s="19">
        <v>268258.48350850801</v>
      </c>
      <c r="E19" s="21">
        <v>5365.1696701701603</v>
      </c>
      <c r="F19" s="14">
        <v>268258.48350850801</v>
      </c>
      <c r="G19" s="14">
        <v>268258.48350850801</v>
      </c>
      <c r="H19" s="14">
        <v>268258.48350850801</v>
      </c>
      <c r="I19" s="14">
        <v>268258.48350850801</v>
      </c>
      <c r="J19" s="12" t="str">
        <v>emp18</v>
      </c>
      <c r="K19" s="12" t="str">
        <v>emp18</v>
      </c>
      <c r="L19" s="8" t="s">
        <v>28</v>
      </c>
      <c r="M19" s="14">
        <v>268258.48350850801</v>
      </c>
    </row>
    <row r="20" spans="1:13" ht="15.6">
      <c r="A20" s="8" t="s">
        <v>29</v>
      </c>
      <c r="B20" s="9">
        <v>2005</v>
      </c>
      <c r="C20" s="10">
        <v>13544</v>
      </c>
      <c r="D20" s="19">
        <v>274004.46152992098</v>
      </c>
      <c r="E20" s="21">
        <v>5480.0892305984198</v>
      </c>
      <c r="F20" s="14">
        <v>274004.46152992098</v>
      </c>
      <c r="G20" s="14">
        <v>274004.46152992098</v>
      </c>
      <c r="H20" s="14">
        <v>274004.46152992098</v>
      </c>
      <c r="I20" s="14">
        <v>274004.46152992098</v>
      </c>
      <c r="J20" s="12" t="str">
        <v>emp19</v>
      </c>
      <c r="K20" s="12" t="str">
        <v>emp19</v>
      </c>
      <c r="L20" s="12" t="s">
        <v>29</v>
      </c>
      <c r="M20" s="14">
        <v>274004.46152992098</v>
      </c>
    </row>
    <row r="21" spans="1:13" ht="15.6">
      <c r="A21" s="8" t="s">
        <v>30</v>
      </c>
      <c r="B21" s="9">
        <v>2004</v>
      </c>
      <c r="C21" s="10">
        <v>18801</v>
      </c>
      <c r="D21" s="19">
        <v>279750.43955133401</v>
      </c>
      <c r="E21" s="21">
        <v>5595.0087910266802</v>
      </c>
      <c r="F21" s="14">
        <v>279750.43955133401</v>
      </c>
      <c r="G21" s="14">
        <v>279750.43955133401</v>
      </c>
      <c r="H21" s="14">
        <v>279750.43955133401</v>
      </c>
      <c r="I21" s="14">
        <v>279750.43955133401</v>
      </c>
      <c r="J21" s="12" t="str">
        <v>emp20</v>
      </c>
      <c r="K21" s="12" t="str">
        <v>emp20</v>
      </c>
      <c r="L21" s="12" t="s">
        <v>30</v>
      </c>
      <c r="M21" s="14">
        <v>279750.43955133401</v>
      </c>
    </row>
    <row r="22" spans="1:13" ht="15.6">
      <c r="A22" s="8" t="s">
        <v>31</v>
      </c>
      <c r="B22" s="9">
        <v>2003</v>
      </c>
      <c r="C22" s="10">
        <v>11436</v>
      </c>
      <c r="D22" s="19">
        <v>285496.41757274698</v>
      </c>
      <c r="E22" s="21">
        <v>5709.9283514549397</v>
      </c>
      <c r="F22" s="14">
        <v>285496.41757274698</v>
      </c>
      <c r="G22" s="14">
        <v>285496.41757274698</v>
      </c>
      <c r="H22" s="14">
        <v>285496.41757274698</v>
      </c>
      <c r="I22" s="14">
        <v>285496.41757274698</v>
      </c>
      <c r="J22" s="12" t="str">
        <v>emp21</v>
      </c>
      <c r="K22" s="12" t="str">
        <v>emp21</v>
      </c>
      <c r="L22" s="12" t="s">
        <v>31</v>
      </c>
      <c r="M22" s="14">
        <v>285496.41757274698</v>
      </c>
    </row>
    <row r="23" spans="1:13" ht="15.6">
      <c r="A23" s="8" t="s">
        <v>32</v>
      </c>
      <c r="B23" s="9">
        <v>2020</v>
      </c>
      <c r="C23" s="10">
        <v>11684</v>
      </c>
      <c r="D23" s="19">
        <v>291242.39559416001</v>
      </c>
      <c r="E23" s="21">
        <v>5824.8479118832001</v>
      </c>
      <c r="F23" s="14">
        <v>291242.39559416001</v>
      </c>
      <c r="G23" s="14">
        <v>291242.39559416001</v>
      </c>
      <c r="H23" s="14">
        <v>291242.39559416001</v>
      </c>
      <c r="I23" s="14">
        <v>291242.39559416001</v>
      </c>
      <c r="J23" s="12" t="str">
        <v>emp22</v>
      </c>
      <c r="K23" s="12" t="str">
        <v>emp22</v>
      </c>
      <c r="L23" s="12" t="s">
        <v>32</v>
      </c>
      <c r="M23" s="14">
        <v>291242.39559416001</v>
      </c>
    </row>
    <row r="24" spans="1:13" ht="15.6">
      <c r="A24" s="8" t="s">
        <v>33</v>
      </c>
      <c r="B24" s="9">
        <v>2019</v>
      </c>
      <c r="C24" s="10">
        <v>19859</v>
      </c>
      <c r="D24" s="19">
        <v>296988.37361557299</v>
      </c>
      <c r="E24" s="21">
        <v>5939.7674723114596</v>
      </c>
      <c r="F24" s="14">
        <v>296988.37361557299</v>
      </c>
      <c r="G24" s="14">
        <v>296988.37361557299</v>
      </c>
      <c r="H24" s="14">
        <v>296988.37361557299</v>
      </c>
      <c r="I24" s="14">
        <v>296988.37361557299</v>
      </c>
      <c r="J24" s="12" t="str">
        <v>emp23</v>
      </c>
      <c r="K24" s="12" t="str">
        <v>emp23</v>
      </c>
      <c r="L24" s="12" t="s">
        <v>33</v>
      </c>
      <c r="M24" s="14">
        <v>296988.37361557299</v>
      </c>
    </row>
    <row r="25" spans="1:13" ht="15.6">
      <c r="A25" s="8" t="s">
        <v>34</v>
      </c>
      <c r="B25" s="9">
        <v>2018</v>
      </c>
      <c r="C25" s="10">
        <v>16586</v>
      </c>
      <c r="D25" s="19">
        <v>25000</v>
      </c>
      <c r="E25" s="21">
        <v>500</v>
      </c>
      <c r="F25" s="14">
        <v>25000</v>
      </c>
      <c r="G25" s="14">
        <v>25000</v>
      </c>
      <c r="H25" s="14">
        <v>25000</v>
      </c>
      <c r="I25" s="14">
        <v>25000</v>
      </c>
      <c r="J25" s="12" t="str">
        <v>emp24</v>
      </c>
      <c r="K25" s="12" t="str">
        <v>emp24</v>
      </c>
      <c r="L25" s="12" t="s">
        <v>34</v>
      </c>
      <c r="M25" s="14">
        <v>25000</v>
      </c>
    </row>
    <row r="26" spans="1:13" ht="15.6">
      <c r="A26" s="8" t="s">
        <v>35</v>
      </c>
      <c r="B26" s="9">
        <v>2017</v>
      </c>
      <c r="C26" s="10">
        <v>16080</v>
      </c>
      <c r="D26" s="19">
        <v>12000</v>
      </c>
      <c r="E26" s="21">
        <v>240</v>
      </c>
      <c r="F26" s="14">
        <v>12000</v>
      </c>
      <c r="G26" s="14">
        <v>12000</v>
      </c>
      <c r="H26" s="14">
        <v>12000</v>
      </c>
      <c r="I26" s="14">
        <v>12000</v>
      </c>
      <c r="J26" s="12" t="str">
        <v>emp25</v>
      </c>
      <c r="K26" s="12" t="str">
        <v>emp25</v>
      </c>
      <c r="L26" s="12" t="s">
        <v>35</v>
      </c>
      <c r="M26" s="14">
        <v>12000</v>
      </c>
    </row>
    <row r="27" spans="1:13" ht="15.6">
      <c r="A27" s="8" t="s">
        <v>36</v>
      </c>
      <c r="B27" s="9">
        <v>2016</v>
      </c>
      <c r="C27" s="10">
        <v>13975</v>
      </c>
      <c r="D27" s="19">
        <v>530000</v>
      </c>
      <c r="E27" s="21">
        <v>10600</v>
      </c>
      <c r="F27" s="14">
        <v>530000</v>
      </c>
      <c r="G27" s="14">
        <v>530000</v>
      </c>
      <c r="H27" s="14">
        <v>530000</v>
      </c>
      <c r="I27" s="14">
        <v>530000</v>
      </c>
      <c r="J27" s="12" t="str">
        <v>emp26</v>
      </c>
      <c r="K27" s="12" t="str">
        <v>emp26</v>
      </c>
      <c r="L27" s="12" t="s">
        <v>36</v>
      </c>
      <c r="M27" s="14">
        <v>530000</v>
      </c>
    </row>
    <row r="28" spans="1:13" ht="15.6">
      <c r="A28" s="8" t="s">
        <v>37</v>
      </c>
      <c r="B28" s="9">
        <v>2015</v>
      </c>
      <c r="C28" s="10">
        <v>11617</v>
      </c>
      <c r="D28" s="19">
        <v>41000</v>
      </c>
      <c r="E28" s="21">
        <v>820</v>
      </c>
      <c r="F28" s="14">
        <v>41000</v>
      </c>
      <c r="G28" s="14">
        <v>41000</v>
      </c>
      <c r="H28" s="14">
        <v>41000</v>
      </c>
      <c r="I28" s="14">
        <v>41000</v>
      </c>
      <c r="J28" s="12" t="str">
        <v>emp27</v>
      </c>
      <c r="K28" s="12" t="str">
        <v>emp27</v>
      </c>
      <c r="L28" s="12" t="s">
        <v>37</v>
      </c>
      <c r="M28" s="14">
        <v>41000</v>
      </c>
    </row>
    <row r="29" spans="1:13" ht="15.6">
      <c r="A29" s="8" t="s">
        <v>38</v>
      </c>
      <c r="B29" s="9">
        <v>2014</v>
      </c>
      <c r="C29" s="10">
        <v>11315</v>
      </c>
      <c r="D29" s="19">
        <v>380000</v>
      </c>
      <c r="E29" s="21">
        <v>7600</v>
      </c>
      <c r="F29" s="14">
        <v>380000</v>
      </c>
      <c r="G29" s="14">
        <v>380000</v>
      </c>
      <c r="H29" s="14">
        <v>380000</v>
      </c>
      <c r="I29" s="14">
        <v>380000</v>
      </c>
      <c r="J29" s="12" t="str">
        <v>emp28</v>
      </c>
      <c r="K29" s="12" t="str">
        <v>emp28</v>
      </c>
      <c r="L29" s="12" t="s">
        <v>38</v>
      </c>
      <c r="M29" s="14">
        <v>380000</v>
      </c>
    </row>
    <row r="30" spans="1:13" ht="15.6">
      <c r="A30" s="8" t="s">
        <v>39</v>
      </c>
      <c r="B30" s="9">
        <v>2013</v>
      </c>
      <c r="C30" s="10">
        <v>12370</v>
      </c>
      <c r="D30" s="19">
        <v>32000</v>
      </c>
      <c r="E30" s="21">
        <v>640</v>
      </c>
      <c r="F30" s="14">
        <v>32000</v>
      </c>
      <c r="G30" s="14">
        <v>32000</v>
      </c>
      <c r="H30" s="14">
        <v>32000</v>
      </c>
      <c r="I30" s="14">
        <v>32000</v>
      </c>
      <c r="J30" s="12" t="str">
        <v>emp29</v>
      </c>
      <c r="K30" s="12" t="str">
        <v>emp29</v>
      </c>
      <c r="L30" s="12" t="s">
        <v>39</v>
      </c>
      <c r="M30" s="14">
        <v>32000</v>
      </c>
    </row>
    <row r="31" spans="1:13" ht="15.6">
      <c r="A31" s="8" t="s">
        <v>40</v>
      </c>
      <c r="B31" s="9">
        <v>2012</v>
      </c>
      <c r="C31" s="10">
        <v>19033</v>
      </c>
      <c r="D31" s="19">
        <v>250000</v>
      </c>
      <c r="E31" s="21">
        <v>5000</v>
      </c>
      <c r="F31" s="14">
        <v>250000</v>
      </c>
      <c r="G31" s="14">
        <v>250000</v>
      </c>
      <c r="H31" s="14">
        <v>250000</v>
      </c>
      <c r="I31" s="14">
        <v>250000</v>
      </c>
      <c r="J31" s="12" t="str">
        <v>emp30</v>
      </c>
      <c r="K31" s="12" t="str">
        <v>emp30</v>
      </c>
      <c r="L31" s="12" t="s">
        <v>40</v>
      </c>
      <c r="M31" s="14">
        <v>250000</v>
      </c>
    </row>
    <row r="32" spans="1:13" ht="15.6">
      <c r="A32" s="8" t="s">
        <v>41</v>
      </c>
      <c r="B32" s="9">
        <v>2011</v>
      </c>
      <c r="C32" s="10">
        <v>17717</v>
      </c>
      <c r="D32" s="19">
        <v>358571.42857142899</v>
      </c>
      <c r="E32" s="21">
        <v>7171.4285714285797</v>
      </c>
      <c r="F32" s="14">
        <v>358571.42857142899</v>
      </c>
      <c r="G32" s="14">
        <v>358571.42857142899</v>
      </c>
      <c r="H32" s="14">
        <v>358571.42857142899</v>
      </c>
      <c r="I32" s="14">
        <v>358571.42857142899</v>
      </c>
      <c r="J32" s="12" t="str">
        <v>emp31</v>
      </c>
      <c r="K32" s="12" t="str">
        <v>emp31</v>
      </c>
      <c r="L32" s="12" t="s">
        <v>41</v>
      </c>
      <c r="M32" s="14">
        <v>358571.42857142899</v>
      </c>
    </row>
    <row r="33" spans="1:13" ht="15.6">
      <c r="A33" s="8" t="s">
        <v>42</v>
      </c>
      <c r="B33" s="9">
        <v>2014</v>
      </c>
      <c r="C33" s="10">
        <v>11424</v>
      </c>
      <c r="D33" s="19">
        <v>36750</v>
      </c>
      <c r="E33" s="21">
        <v>735</v>
      </c>
      <c r="F33" s="14">
        <v>36750</v>
      </c>
      <c r="G33" s="14">
        <v>36750</v>
      </c>
      <c r="H33" s="14">
        <v>36750</v>
      </c>
      <c r="I33" s="14">
        <v>36750</v>
      </c>
      <c r="J33" s="12" t="str">
        <v>emp32</v>
      </c>
      <c r="K33" s="12" t="str">
        <v>emp32</v>
      </c>
      <c r="L33" s="12" t="s">
        <v>42</v>
      </c>
      <c r="M33" s="14">
        <v>36750</v>
      </c>
    </row>
    <row r="34" spans="1:13" ht="15.6">
      <c r="A34" s="8" t="s">
        <v>43</v>
      </c>
      <c r="B34" s="9">
        <v>2013</v>
      </c>
      <c r="C34" s="10">
        <v>12231</v>
      </c>
      <c r="D34" s="19">
        <v>376428.57142857101</v>
      </c>
      <c r="E34" s="21">
        <v>7528.5714285714203</v>
      </c>
      <c r="F34" s="14">
        <v>376428.57142857101</v>
      </c>
      <c r="G34" s="14">
        <v>376428.57142857101</v>
      </c>
      <c r="H34" s="14">
        <v>376428.57142857101</v>
      </c>
      <c r="I34" s="14">
        <v>376428.57142857101</v>
      </c>
      <c r="J34" s="12" t="str">
        <v>emp33</v>
      </c>
      <c r="K34" s="12" t="str">
        <v>emp33</v>
      </c>
      <c r="L34" s="12" t="s">
        <v>43</v>
      </c>
      <c r="M34" s="14">
        <v>376428.57142857101</v>
      </c>
    </row>
    <row r="35" spans="1:13" ht="15.6">
      <c r="A35" s="8" t="s">
        <v>44</v>
      </c>
      <c r="B35" s="9">
        <v>2012</v>
      </c>
      <c r="C35" s="10">
        <v>17855</v>
      </c>
      <c r="D35" s="19">
        <v>385357.14285714302</v>
      </c>
      <c r="E35" s="21">
        <v>7707.1428571428605</v>
      </c>
      <c r="F35" s="14">
        <v>385357.14285714302</v>
      </c>
      <c r="G35" s="14">
        <v>385357.14285714302</v>
      </c>
      <c r="H35" s="14">
        <v>385357.14285714302</v>
      </c>
      <c r="I35" s="23">
        <v>385357.14285714302</v>
      </c>
      <c r="J35" s="12" t="str">
        <v>emp34</v>
      </c>
      <c r="K35" s="12" t="str">
        <v>emp34</v>
      </c>
      <c r="L35" s="12" t="s">
        <v>44</v>
      </c>
      <c r="M35" s="14">
        <v>385357.14285714302</v>
      </c>
    </row>
    <row r="36" spans="1:13" ht="15.6">
      <c r="A36" s="8" t="s">
        <v>45</v>
      </c>
      <c r="B36" s="9">
        <v>2011</v>
      </c>
      <c r="C36" s="10">
        <v>10317</v>
      </c>
      <c r="D36" s="19">
        <v>39425.714257140004</v>
      </c>
      <c r="E36" s="21">
        <v>788.51428514280008</v>
      </c>
      <c r="F36" s="14">
        <v>39425.714257140004</v>
      </c>
      <c r="G36" s="14">
        <v>39425.714257140004</v>
      </c>
      <c r="H36" s="14">
        <v>39425.714257140004</v>
      </c>
      <c r="I36" s="14">
        <v>39425.714257140004</v>
      </c>
      <c r="J36" s="12" t="str">
        <v>emp35</v>
      </c>
      <c r="K36" s="12" t="str">
        <v>emp35</v>
      </c>
      <c r="L36" s="12" t="s">
        <v>45</v>
      </c>
      <c r="M36" s="14">
        <v>39425.714257140004</v>
      </c>
    </row>
    <row r="37" spans="1:13" ht="15.6">
      <c r="A37" s="8" t="s">
        <v>46</v>
      </c>
      <c r="B37" s="9">
        <v>2014</v>
      </c>
      <c r="C37" s="10">
        <v>17601</v>
      </c>
      <c r="D37" s="19">
        <v>608571.42857142899</v>
      </c>
      <c r="E37" s="21">
        <v>12171.42857142858</v>
      </c>
      <c r="F37" s="14">
        <v>608571.42857142899</v>
      </c>
      <c r="G37" s="14">
        <v>608571.42857142899</v>
      </c>
      <c r="H37" s="14">
        <v>608571.42857142899</v>
      </c>
      <c r="I37" s="14">
        <v>608571.42857142899</v>
      </c>
      <c r="J37" s="12" t="str">
        <v>emp36</v>
      </c>
      <c r="K37" s="12" t="str">
        <v>emp36</v>
      </c>
      <c r="L37" s="12" t="s">
        <v>46</v>
      </c>
      <c r="M37" s="14">
        <v>608571.42857142899</v>
      </c>
    </row>
    <row r="38" spans="1:13" ht="15.6">
      <c r="A38" s="8" t="s">
        <v>47</v>
      </c>
      <c r="B38" s="9">
        <v>2013</v>
      </c>
      <c r="C38" s="10">
        <v>12851</v>
      </c>
      <c r="D38" s="19">
        <v>617500</v>
      </c>
      <c r="E38" s="21">
        <v>12350</v>
      </c>
      <c r="F38" s="14">
        <v>617500</v>
      </c>
      <c r="G38" s="14">
        <v>617500</v>
      </c>
      <c r="H38" s="14">
        <v>617500</v>
      </c>
      <c r="I38" s="14">
        <v>617500</v>
      </c>
      <c r="J38" s="12" t="str">
        <v>emp37</v>
      </c>
      <c r="K38" s="12" t="str">
        <v>emp37</v>
      </c>
      <c r="L38" s="12" t="s">
        <v>47</v>
      </c>
      <c r="M38" s="14">
        <v>617500</v>
      </c>
    </row>
    <row r="39" spans="1:13" ht="15.6">
      <c r="A39" s="8" t="s">
        <v>48</v>
      </c>
      <c r="B39" s="9">
        <v>2012</v>
      </c>
      <c r="C39" s="10">
        <v>18171</v>
      </c>
      <c r="D39" s="19">
        <v>626428.57142857194</v>
      </c>
      <c r="E39" s="21">
        <v>12528.571428571438</v>
      </c>
      <c r="F39" s="14">
        <v>626428.57142857194</v>
      </c>
      <c r="G39" s="14">
        <v>626428.57142857194</v>
      </c>
      <c r="H39" s="14">
        <v>626428.57142857194</v>
      </c>
      <c r="I39" s="14">
        <v>626428.57142857194</v>
      </c>
      <c r="J39" s="12" t="str">
        <v>emp38</v>
      </c>
      <c r="K39" s="12" t="str">
        <v>emp38</v>
      </c>
      <c r="L39" s="12" t="s">
        <v>48</v>
      </c>
      <c r="M39" s="14">
        <v>626428.57142857194</v>
      </c>
    </row>
    <row r="40" spans="1:13" ht="15.6">
      <c r="A40" s="8" t="s">
        <v>49</v>
      </c>
      <c r="B40" s="9">
        <v>2011</v>
      </c>
      <c r="C40" s="10">
        <v>12990</v>
      </c>
      <c r="D40" s="19">
        <v>635357.14285714203</v>
      </c>
      <c r="E40" s="21">
        <v>12707.142857142841</v>
      </c>
      <c r="F40" s="14">
        <v>635357.14285714203</v>
      </c>
      <c r="G40" s="14">
        <v>635357.14285714203</v>
      </c>
      <c r="H40" s="14">
        <v>635357.14285714203</v>
      </c>
      <c r="I40" s="14">
        <v>635357.14285714203</v>
      </c>
      <c r="J40" s="12" t="str">
        <v>emp39</v>
      </c>
      <c r="K40" s="12" t="str">
        <v>emp39</v>
      </c>
      <c r="L40" s="12" t="s">
        <v>49</v>
      </c>
      <c r="M40" s="14">
        <v>635357.14285714203</v>
      </c>
    </row>
    <row r="41" spans="1:13" ht="15.6">
      <c r="A41" s="8" t="s">
        <v>50</v>
      </c>
      <c r="B41" s="9">
        <v>2010</v>
      </c>
      <c r="C41" s="10">
        <v>14619</v>
      </c>
      <c r="D41" s="19">
        <v>644285.71428571502</v>
      </c>
      <c r="E41" s="21">
        <v>12885.714285714301</v>
      </c>
      <c r="F41" s="14">
        <v>644285.71428571502</v>
      </c>
      <c r="G41" s="14">
        <v>644285.71428571502</v>
      </c>
      <c r="H41" s="14">
        <v>644285.71428571502</v>
      </c>
      <c r="I41" s="14">
        <v>644285.71428571502</v>
      </c>
      <c r="J41" s="12" t="str">
        <v>emp40</v>
      </c>
      <c r="K41" s="12" t="str">
        <v>emp40</v>
      </c>
      <c r="L41" s="12" t="s">
        <v>50</v>
      </c>
      <c r="M41" s="14">
        <v>644285.71428571502</v>
      </c>
    </row>
    <row r="42" spans="1:13" ht="15.6">
      <c r="A42" s="15" t="s">
        <v>51</v>
      </c>
      <c r="B42" s="16"/>
      <c r="C42" s="16"/>
      <c r="D42" s="16"/>
      <c r="E42" s="16"/>
      <c r="F42" s="17">
        <f>SUM(_xlfn.ANCHORARRAY(F2))</f>
        <v>10180393.67724875</v>
      </c>
      <c r="G42" s="17">
        <f>AVERAGE(_xlfn.ANCHORARRAY(G2))</f>
        <v>254509.84193121875</v>
      </c>
      <c r="H42" s="17">
        <f>MIN(_xlfn.ANCHORARRAY(H2))</f>
        <v>824.25714285716003</v>
      </c>
      <c r="I42" s="17">
        <f>MAX(I1:I41)</f>
        <v>644285.71428571502</v>
      </c>
      <c r="J42" s="16">
        <f>COUNT(_xlfn.ANCHORARRAY(J2))</f>
        <v>0</v>
      </c>
      <c r="K42" s="16">
        <f>COUNTA(_xlfn.ANCHORARRAY(K2))</f>
        <v>40</v>
      </c>
      <c r="L42" s="16">
        <f>COUNTBLANK(L2:L41)</f>
        <v>0</v>
      </c>
      <c r="M42" s="16">
        <f>COUNT(_xlfn.ANCHORARRAY(M2))</f>
        <v>40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B4F1-5ED8-46DD-AA04-A69D18759CC6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FA87-4BD5-4EAA-9EDA-4A5902703F6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6187-4158-4395-BFE4-257860D3EE1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C93B-EB0E-401E-8D49-73DE6951816C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A01C-1D3F-4D4E-A3D6-498C01842241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Sales Data</vt:lpstr>
      <vt:lpstr>Sheet2</vt:lpstr>
      <vt:lpstr>Sheet3</vt:lpstr>
      <vt:lpstr>Sheet5</vt:lpstr>
      <vt:lpstr>Sheet4</vt:lpstr>
      <vt:lpstr>Sheet6</vt:lpstr>
      <vt:lpstr>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Malgundkar</dc:creator>
  <cp:lastModifiedBy>Siddhant Shrivastav</cp:lastModifiedBy>
  <dcterms:created xsi:type="dcterms:W3CDTF">2025-12-11T13:55:41Z</dcterms:created>
  <dcterms:modified xsi:type="dcterms:W3CDTF">2026-01-08T15:11:38Z</dcterms:modified>
</cp:coreProperties>
</file>