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NT\Downloads\"/>
    </mc:Choice>
  </mc:AlternateContent>
  <xr:revisionPtr revIDLastSave="0" documentId="8_{D737019A-CDF6-464E-978E-8D72EF55A208}" xr6:coauthVersionLast="47" xr6:coauthVersionMax="47" xr10:uidLastSave="{00000000-0000-0000-0000-000000000000}"/>
  <bookViews>
    <workbookView xWindow="-108" yWindow="-108" windowWidth="23256" windowHeight="12456" xr2:uid="{AB51DBF2-1249-46A5-9883-9A303D9336B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" l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</calcChain>
</file>

<file path=xl/sharedStrings.xml><?xml version="1.0" encoding="utf-8"?>
<sst xmlns="http://schemas.openxmlformats.org/spreadsheetml/2006/main" count="53" uniqueCount="33">
  <si>
    <t>Name</t>
  </si>
  <si>
    <t>Salary</t>
  </si>
  <si>
    <t>Sales</t>
  </si>
  <si>
    <t>Ratings</t>
  </si>
  <si>
    <t>Kala</t>
  </si>
  <si>
    <t>Raj</t>
  </si>
  <si>
    <t>Mala</t>
  </si>
  <si>
    <t>Rohan</t>
  </si>
  <si>
    <t>Manoj</t>
  </si>
  <si>
    <t>Aves</t>
  </si>
  <si>
    <t>Priya</t>
  </si>
  <si>
    <t>Riya</t>
  </si>
  <si>
    <t>Sakura</t>
  </si>
  <si>
    <t>Jay</t>
  </si>
  <si>
    <t>Vijay</t>
  </si>
  <si>
    <t>Pooja</t>
  </si>
  <si>
    <t>Sr.no</t>
  </si>
  <si>
    <t>comisson</t>
  </si>
  <si>
    <t xml:space="preserve">New Commission </t>
  </si>
  <si>
    <t>Commission2</t>
  </si>
  <si>
    <t>Bonus eligible</t>
  </si>
  <si>
    <t>bonus</t>
  </si>
  <si>
    <t>New Bonus</t>
  </si>
  <si>
    <t>Consider salary and find the top five paid employees.</t>
  </si>
  <si>
    <t>Mala,Manoj,Aves,Priya,Sakura</t>
  </si>
  <si>
    <t>Consider salary and find the lest 2 paid employees.</t>
  </si>
  <si>
    <t>Kala, Priya, Pooja</t>
  </si>
  <si>
    <t>Consider salary and find the lest 10% paid employees.</t>
  </si>
  <si>
    <t>Consider salary and find the lest 20% paid employees.</t>
  </si>
  <si>
    <t>TDS 2%</t>
  </si>
  <si>
    <t>Rating</t>
  </si>
  <si>
    <t>sales</t>
  </si>
  <si>
    <t>Observation After Icon Set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</si>
</sst>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₹&quot;\ #,##0"/>
    <numFmt numFmtId="165" formatCode="_ &quot;₹&quot;\ * #,##0_ ;_ &quot;₹&quot;\ * \-#,##0_ ;_ &quot;₹&quot;\ * &quot;-&quot;??_ ;_ @_ "/>
    <numFmt numFmtId="166" formatCode="_(&quot;$&quot;* #,##0_);_(&quot;$&quot;* \(#,##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165" fontId="0" fillId="3" borderId="1" xfId="1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0" fontId="0" fillId="4" borderId="0" xfId="0" applyFill="1"/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166" fontId="0" fillId="6" borderId="1" xfId="1" applyNumberFormat="1" applyFont="1" applyFill="1" applyBorder="1" applyAlignment="1">
      <alignment horizontal="center"/>
    </xf>
    <xf numFmtId="166" fontId="0" fillId="6" borderId="1" xfId="0" applyNumberFormat="1" applyFill="1" applyBorder="1"/>
    <xf numFmtId="1" fontId="0" fillId="6" borderId="1" xfId="0" applyNumberFormat="1" applyFill="1" applyBorder="1"/>
    <xf numFmtId="0" fontId="3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139700</xdr:colOff>
      <xdr:row>48</xdr:row>
      <xdr:rowOff>82550</xdr:rowOff>
    </xdr:from>
    <xdr:to>
      <xdr:col>6</xdr:col>
      <xdr:colOff>63500</xdr:colOff>
      <xdr:row>52</xdr:row>
      <xdr:rowOff>120650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2B40C5-3EBD-5C03-1B11-077BBD368D13}"/>
            </a:ext>
          </a:extLst>
        </xdr:cNvPr>
        <xdr:cNvSpPr txBox="1"/>
      </xdr:nvSpPr>
      <xdr:spPr>
        <a:xfrm>
          <a:off x="749300" y="9004300"/>
          <a:ext cx="3765550" cy="774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After Applying Icon</a:t>
          </a:r>
          <a:r>
            <a:rPr lang="en-IN" sz="1100" baseline="0"/>
            <a:t> Set, I observe that the highest Value is Highlighed With Green Icon and Average Value is Highlighed with Yellow Icon and also Lowest Value is Highlighed in Red Icon.</a:t>
          </a:r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chita\Downloads\2.xlsx" TargetMode="External"/><Relationship Id="rId1" Type="http://schemas.openxmlformats.org/officeDocument/2006/relationships/externalLinkPath" Target="/Users/Sanchita/Downloads/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0">
          <cell r="O20">
            <v>0.04</v>
          </cell>
        </row>
        <row r="27">
          <cell r="B27">
            <v>5</v>
          </cell>
          <cell r="C27">
            <v>6000</v>
          </cell>
        </row>
        <row r="28">
          <cell r="B28">
            <v>4</v>
          </cell>
          <cell r="C28">
            <v>3000</v>
          </cell>
        </row>
        <row r="29">
          <cell r="B29">
            <v>3</v>
          </cell>
          <cell r="C29">
            <v>2500</v>
          </cell>
        </row>
        <row r="30">
          <cell r="B30">
            <v>2</v>
          </cell>
          <cell r="C30">
            <v>1000</v>
          </cell>
        </row>
        <row r="31">
          <cell r="B31">
            <v>1</v>
          </cell>
          <cell r="C31">
            <v>50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75F4-A59C-4E5F-B2D4-8D6887C318AC}">
  <dimension ref="A1:K48"/>
  <sheetViews>
    <sheetView tabSelected="1" workbookViewId="0">
      <selection activeCell="B10" sqref="B10"/>
    </sheetView>
  </sheetViews>
  <sheetFormatPr defaultRowHeight="14.4"/>
  <cols>
    <col min="3" max="3" width="11.44140625" customWidth="1"/>
    <col min="4" max="4" width="12.6640625" bestFit="1" customWidth="1"/>
    <col min="5" max="5" width="12.21875" bestFit="1" customWidth="1"/>
    <col min="6" max="6" width="9.88671875" bestFit="1" customWidth="1"/>
    <col min="7" max="7" width="22.77734375" bestFit="1" customWidth="1"/>
    <col min="8" max="8" width="20.109375" bestFit="1" customWidth="1"/>
    <col min="9" max="9" width="18" bestFit="1" customWidth="1"/>
    <col min="10" max="10" width="10.77734375" customWidth="1"/>
    <col min="11" max="11" width="14.77734375" bestFit="1" customWidth="1"/>
  </cols>
  <sheetData>
    <row r="1" spans="1:11" ht="21">
      <c r="A1" s="1" t="s">
        <v>16</v>
      </c>
      <c r="B1" s="1" t="s">
        <v>0</v>
      </c>
      <c r="C1" s="1" t="s">
        <v>1</v>
      </c>
      <c r="D1" s="1" t="s">
        <v>2</v>
      </c>
      <c r="E1" s="1" t="s">
        <v>17</v>
      </c>
      <c r="F1" s="1" t="s">
        <v>3</v>
      </c>
      <c r="G1" s="1" t="s">
        <v>18</v>
      </c>
      <c r="H1" s="1" t="s">
        <v>19</v>
      </c>
      <c r="I1" s="3" t="s">
        <v>20</v>
      </c>
      <c r="J1" s="3" t="s">
        <v>21</v>
      </c>
      <c r="K1" s="3" t="s">
        <v>22</v>
      </c>
    </row>
    <row r="2" spans="1:11">
      <c r="A2" s="2">
        <v>1</v>
      </c>
      <c r="B2" s="2" t="s">
        <v>4</v>
      </c>
      <c r="C2" s="9">
        <v>10000</v>
      </c>
      <c r="D2" s="4">
        <v>12000</v>
      </c>
      <c r="E2" s="4">
        <f>D2*4%</f>
        <v>480</v>
      </c>
      <c r="F2" s="5">
        <v>5</v>
      </c>
      <c r="G2" s="7">
        <f>D2*[1]Sheet1!$O$20</f>
        <v>480</v>
      </c>
      <c r="H2" s="7">
        <f>D2*[1]Sheet1!O20</f>
        <v>480</v>
      </c>
      <c r="I2" s="8" t="str">
        <f>IF(F2&gt;3,"Yes","No")</f>
        <v>Yes</v>
      </c>
      <c r="J2" s="6" t="str">
        <f>IF(F2&gt;3,"Rs 5000/-","Rs 100/-")</f>
        <v>Rs 5000/-</v>
      </c>
      <c r="K2" s="7">
        <f>IF(F2=[1]Sheet1!$B$27,[1]Sheet1!$C$27,IF(F2=[1]Sheet1!$B$28,[1]Sheet1!$C$28,IF(F2=[1]Sheet1!$B$29,[1]Sheet1!$C$29,IF(F2=[1]Sheet1!$B$30,[1]Sheet1!$C$30,IF(F2=[1]Sheet1!$B$31,[1]Sheet1!$C$31,0)))))</f>
        <v>6000</v>
      </c>
    </row>
    <row r="3" spans="1:11">
      <c r="A3" s="2">
        <v>2</v>
      </c>
      <c r="B3" s="2" t="s">
        <v>5</v>
      </c>
      <c r="C3" s="9">
        <v>20000</v>
      </c>
      <c r="D3" s="4">
        <v>250000</v>
      </c>
      <c r="E3" s="4">
        <f t="shared" ref="E3:E15" si="0">D3*4%</f>
        <v>10000</v>
      </c>
      <c r="F3" s="5">
        <v>3</v>
      </c>
      <c r="G3" s="7">
        <f>D3*[1]Sheet1!$O$20</f>
        <v>10000</v>
      </c>
      <c r="H3" s="7">
        <f>D3*[1]Sheet1!O21</f>
        <v>0</v>
      </c>
      <c r="I3" s="8" t="str">
        <f t="shared" ref="I3:I15" si="1">IF(F3&gt;3,"Yes","No")</f>
        <v>No</v>
      </c>
      <c r="J3" s="6" t="str">
        <f t="shared" ref="J3:J15" si="2">IF(F3&gt;3,"Rs 5000/-","Rs 100/-")</f>
        <v>Rs 100/-</v>
      </c>
      <c r="K3" s="7">
        <f>IF(F3=[1]Sheet1!$B$27,[1]Sheet1!$C$27,IF(F3=[1]Sheet1!$B$28,[1]Sheet1!$C$28,IF(F3=[1]Sheet1!$B$29,[1]Sheet1!$C$29,IF(F3=[1]Sheet1!$B$30,[1]Sheet1!$C$30,IF(F3=[1]Sheet1!$B$31,[1]Sheet1!$C$31,0)))))</f>
        <v>2500</v>
      </c>
    </row>
    <row r="4" spans="1:11">
      <c r="A4" s="2">
        <v>3</v>
      </c>
      <c r="B4" s="2" t="s">
        <v>6</v>
      </c>
      <c r="C4" s="9">
        <v>30000</v>
      </c>
      <c r="D4" s="4">
        <v>10000</v>
      </c>
      <c r="E4" s="4">
        <f t="shared" si="0"/>
        <v>400</v>
      </c>
      <c r="F4" s="5">
        <v>2</v>
      </c>
      <c r="G4" s="7">
        <f>D4*[1]Sheet1!$O$20</f>
        <v>400</v>
      </c>
      <c r="H4" s="7">
        <f>D4*[1]Sheet1!O22</f>
        <v>0</v>
      </c>
      <c r="I4" s="8" t="str">
        <f t="shared" si="1"/>
        <v>No</v>
      </c>
      <c r="J4" s="6" t="str">
        <f t="shared" si="2"/>
        <v>Rs 100/-</v>
      </c>
      <c r="K4" s="7">
        <f>IF(F4=[1]Sheet1!$B$27,[1]Sheet1!$C$27,IF(F4=[1]Sheet1!$B$28,[1]Sheet1!$C$28,IF(F4=[1]Sheet1!$B$29,[1]Sheet1!$C$29,IF(F4=[1]Sheet1!$B$30,[1]Sheet1!$C$30,IF(F4=[1]Sheet1!$B$31,[1]Sheet1!$C$31,0)))))</f>
        <v>1000</v>
      </c>
    </row>
    <row r="5" spans="1:11">
      <c r="A5" s="2">
        <v>4</v>
      </c>
      <c r="B5" s="2" t="s">
        <v>7</v>
      </c>
      <c r="C5" s="9">
        <v>15000</v>
      </c>
      <c r="D5" s="4">
        <v>200000</v>
      </c>
      <c r="E5" s="4">
        <f t="shared" si="0"/>
        <v>8000</v>
      </c>
      <c r="F5" s="5">
        <v>4</v>
      </c>
      <c r="G5" s="7">
        <f>D5*[1]Sheet1!$O$20</f>
        <v>8000</v>
      </c>
      <c r="H5" s="7">
        <f>D5*[1]Sheet1!O23</f>
        <v>0</v>
      </c>
      <c r="I5" s="8" t="str">
        <f t="shared" si="1"/>
        <v>Yes</v>
      </c>
      <c r="J5" s="6" t="str">
        <f t="shared" si="2"/>
        <v>Rs 5000/-</v>
      </c>
      <c r="K5" s="7">
        <f>IF(F5=[1]Sheet1!$B$27,[1]Sheet1!$C$27,IF(F5=[1]Sheet1!$B$28,[1]Sheet1!$C$28,IF(F5=[1]Sheet1!$B$29,[1]Sheet1!$C$29,IF(F5=[1]Sheet1!$B$30,[1]Sheet1!$C$30,IF(F5=[1]Sheet1!$B$31,[1]Sheet1!$C$31,0)))))</f>
        <v>3000</v>
      </c>
    </row>
    <row r="6" spans="1:11">
      <c r="A6" s="2">
        <v>5</v>
      </c>
      <c r="B6" s="2" t="s">
        <v>5</v>
      </c>
      <c r="C6" s="9">
        <v>25000</v>
      </c>
      <c r="D6" s="4">
        <v>30000</v>
      </c>
      <c r="E6" s="4">
        <f t="shared" si="0"/>
        <v>1200</v>
      </c>
      <c r="F6" s="5">
        <v>3</v>
      </c>
      <c r="G6" s="7">
        <f>D6*[1]Sheet1!$O$20</f>
        <v>1200</v>
      </c>
      <c r="H6" s="7">
        <f>D6*[1]Sheet1!O24</f>
        <v>0</v>
      </c>
      <c r="I6" s="8" t="str">
        <f t="shared" si="1"/>
        <v>No</v>
      </c>
      <c r="J6" s="6" t="str">
        <f t="shared" si="2"/>
        <v>Rs 100/-</v>
      </c>
      <c r="K6" s="7">
        <f>IF(F6=[1]Sheet1!$B$27,[1]Sheet1!$C$27,IF(F6=[1]Sheet1!$B$28,[1]Sheet1!$C$28,IF(F6=[1]Sheet1!$B$29,[1]Sheet1!$C$29,IF(F6=[1]Sheet1!$B$30,[1]Sheet1!$C$30,IF(F6=[1]Sheet1!$B$31,[1]Sheet1!$C$31,0)))))</f>
        <v>2500</v>
      </c>
    </row>
    <row r="7" spans="1:11">
      <c r="A7" s="2">
        <v>6</v>
      </c>
      <c r="B7" s="2" t="s">
        <v>8</v>
      </c>
      <c r="C7" s="9">
        <v>35000</v>
      </c>
      <c r="D7" s="4">
        <v>340000</v>
      </c>
      <c r="E7" s="4">
        <f t="shared" si="0"/>
        <v>13600</v>
      </c>
      <c r="F7" s="5">
        <v>4</v>
      </c>
      <c r="G7" s="7">
        <f>D7*[1]Sheet1!$O$20</f>
        <v>13600</v>
      </c>
      <c r="H7" s="7">
        <f>D7*[1]Sheet1!O25</f>
        <v>0</v>
      </c>
      <c r="I7" s="8" t="str">
        <f t="shared" si="1"/>
        <v>Yes</v>
      </c>
      <c r="J7" s="6" t="str">
        <f t="shared" si="2"/>
        <v>Rs 5000/-</v>
      </c>
      <c r="K7" s="7">
        <f>IF(F7=[1]Sheet1!$B$27,[1]Sheet1!$C$27,IF(F7=[1]Sheet1!$B$28,[1]Sheet1!$C$28,IF(F7=[1]Sheet1!$B$29,[1]Sheet1!$C$29,IF(F7=[1]Sheet1!$B$30,[1]Sheet1!$C$30,IF(F7=[1]Sheet1!$B$31,[1]Sheet1!$C$31,0)))))</f>
        <v>3000</v>
      </c>
    </row>
    <row r="8" spans="1:11">
      <c r="A8" s="2">
        <v>7</v>
      </c>
      <c r="B8" s="2" t="s">
        <v>9</v>
      </c>
      <c r="C8" s="9">
        <v>45000</v>
      </c>
      <c r="D8" s="4">
        <v>100000</v>
      </c>
      <c r="E8" s="4">
        <f t="shared" si="0"/>
        <v>4000</v>
      </c>
      <c r="F8" s="5">
        <v>3</v>
      </c>
      <c r="G8" s="7">
        <f>D8*[1]Sheet1!$O$20</f>
        <v>4000</v>
      </c>
      <c r="H8" s="7">
        <f>D8*[1]Sheet1!O26</f>
        <v>0</v>
      </c>
      <c r="I8" s="8" t="str">
        <f t="shared" si="1"/>
        <v>No</v>
      </c>
      <c r="J8" s="6" t="str">
        <f t="shared" si="2"/>
        <v>Rs 100/-</v>
      </c>
      <c r="K8" s="7">
        <f>IF(F8=[1]Sheet1!$B$27,[1]Sheet1!$C$27,IF(F8=[1]Sheet1!$B$28,[1]Sheet1!$C$28,IF(F8=[1]Sheet1!$B$29,[1]Sheet1!$C$29,IF(F8=[1]Sheet1!$B$30,[1]Sheet1!$C$30,IF(F8=[1]Sheet1!$B$31,[1]Sheet1!$C$31,0)))))</f>
        <v>2500</v>
      </c>
    </row>
    <row r="9" spans="1:11">
      <c r="A9" s="2">
        <v>8</v>
      </c>
      <c r="B9" s="2" t="s">
        <v>10</v>
      </c>
      <c r="C9" s="9">
        <v>30000</v>
      </c>
      <c r="D9" s="4">
        <v>234500</v>
      </c>
      <c r="E9" s="4">
        <f t="shared" si="0"/>
        <v>9380</v>
      </c>
      <c r="F9" s="5">
        <v>2</v>
      </c>
      <c r="G9" s="7">
        <f>D9*[1]Sheet1!$O$20</f>
        <v>9380</v>
      </c>
      <c r="H9" s="7">
        <f>D9*[1]Sheet1!O27</f>
        <v>0</v>
      </c>
      <c r="I9" s="8" t="str">
        <f t="shared" si="1"/>
        <v>No</v>
      </c>
      <c r="J9" s="6" t="str">
        <f t="shared" si="2"/>
        <v>Rs 100/-</v>
      </c>
      <c r="K9" s="7">
        <f>IF(F9=[1]Sheet1!$B$27,[1]Sheet1!$C$27,IF(F9=[1]Sheet1!$B$28,[1]Sheet1!$C$28,IF(F9=[1]Sheet1!$B$29,[1]Sheet1!$C$29,IF(F9=[1]Sheet1!$B$30,[1]Sheet1!$C$30,IF(F9=[1]Sheet1!$B$31,[1]Sheet1!$C$31,0)))))</f>
        <v>1000</v>
      </c>
    </row>
    <row r="10" spans="1:11">
      <c r="A10" s="2">
        <v>9</v>
      </c>
      <c r="B10" s="2" t="s">
        <v>11</v>
      </c>
      <c r="C10" s="9">
        <v>15000</v>
      </c>
      <c r="D10" s="4">
        <v>125043</v>
      </c>
      <c r="E10" s="4">
        <f t="shared" si="0"/>
        <v>5001.72</v>
      </c>
      <c r="F10" s="5">
        <v>5</v>
      </c>
      <c r="G10" s="7">
        <f>D10*[1]Sheet1!$O$20</f>
        <v>5001.72</v>
      </c>
      <c r="H10" s="7">
        <f>D10*[1]Sheet1!O28</f>
        <v>0</v>
      </c>
      <c r="I10" s="8" t="str">
        <f t="shared" si="1"/>
        <v>Yes</v>
      </c>
      <c r="J10" s="6" t="str">
        <f t="shared" si="2"/>
        <v>Rs 5000/-</v>
      </c>
      <c r="K10" s="7">
        <f>IF(F10=[1]Sheet1!$B$27,[1]Sheet1!$C$27,IF(F10=[1]Sheet1!$B$28,[1]Sheet1!$C$28,IF(F10=[1]Sheet1!$B$29,[1]Sheet1!$C$29,IF(F10=[1]Sheet1!$B$30,[1]Sheet1!$C$30,IF(F10=[1]Sheet1!$B$31,[1]Sheet1!$C$31,0)))))</f>
        <v>6000</v>
      </c>
    </row>
    <row r="11" spans="1:11">
      <c r="A11" s="2">
        <v>10</v>
      </c>
      <c r="B11" s="2" t="s">
        <v>10</v>
      </c>
      <c r="C11" s="9">
        <v>10000</v>
      </c>
      <c r="D11" s="4">
        <v>340000</v>
      </c>
      <c r="E11" s="4">
        <f t="shared" si="0"/>
        <v>13600</v>
      </c>
      <c r="F11" s="5">
        <v>1</v>
      </c>
      <c r="G11" s="7">
        <f>D11*[1]Sheet1!$O$20</f>
        <v>13600</v>
      </c>
      <c r="H11" s="7">
        <f>D11*[1]Sheet1!O29</f>
        <v>0</v>
      </c>
      <c r="I11" s="8" t="str">
        <f t="shared" si="1"/>
        <v>No</v>
      </c>
      <c r="J11" s="6" t="str">
        <f t="shared" si="2"/>
        <v>Rs 100/-</v>
      </c>
      <c r="K11" s="7">
        <f>IF(F11=[1]Sheet1!$B$27,[1]Sheet1!$C$27,IF(F11=[1]Sheet1!$B$28,[1]Sheet1!$C$28,IF(F11=[1]Sheet1!$B$29,[1]Sheet1!$C$29,IF(F11=[1]Sheet1!$B$30,[1]Sheet1!$C$30,IF(F11=[1]Sheet1!$B$31,[1]Sheet1!$C$31,0)))))</f>
        <v>50</v>
      </c>
    </row>
    <row r="12" spans="1:11">
      <c r="A12" s="2">
        <v>11</v>
      </c>
      <c r="B12" s="2" t="s">
        <v>12</v>
      </c>
      <c r="C12" s="9">
        <v>45000</v>
      </c>
      <c r="D12" s="4">
        <v>100000</v>
      </c>
      <c r="E12" s="4">
        <f t="shared" si="0"/>
        <v>4000</v>
      </c>
      <c r="F12" s="5">
        <v>2</v>
      </c>
      <c r="G12" s="7">
        <f>D12*[1]Sheet1!$O$20</f>
        <v>4000</v>
      </c>
      <c r="H12" s="7">
        <f>D12*[1]Sheet1!O30</f>
        <v>0</v>
      </c>
      <c r="I12" s="8" t="str">
        <f t="shared" si="1"/>
        <v>No</v>
      </c>
      <c r="J12" s="6" t="str">
        <f t="shared" si="2"/>
        <v>Rs 100/-</v>
      </c>
      <c r="K12" s="7">
        <f>IF(F12=[1]Sheet1!$B$27,[1]Sheet1!$C$27,IF(F12=[1]Sheet1!$B$28,[1]Sheet1!$C$28,IF(F12=[1]Sheet1!$B$29,[1]Sheet1!$C$29,IF(F12=[1]Sheet1!$B$30,[1]Sheet1!$C$30,IF(F12=[1]Sheet1!$B$31,[1]Sheet1!$C$31,0)))))</f>
        <v>1000</v>
      </c>
    </row>
    <row r="13" spans="1:11">
      <c r="A13" s="2">
        <v>12</v>
      </c>
      <c r="B13" s="2" t="s">
        <v>13</v>
      </c>
      <c r="C13" s="9">
        <v>30000</v>
      </c>
      <c r="D13" s="4">
        <v>234500</v>
      </c>
      <c r="E13" s="4">
        <f t="shared" si="0"/>
        <v>9380</v>
      </c>
      <c r="F13" s="5">
        <v>3</v>
      </c>
      <c r="G13" s="7">
        <f>D13*[1]Sheet1!$O$20</f>
        <v>9380</v>
      </c>
      <c r="H13" s="7">
        <f>D13*[1]Sheet1!O31</f>
        <v>0</v>
      </c>
      <c r="I13" s="8" t="str">
        <f t="shared" si="1"/>
        <v>No</v>
      </c>
      <c r="J13" s="6" t="str">
        <f t="shared" si="2"/>
        <v>Rs 100/-</v>
      </c>
      <c r="K13" s="7">
        <f>IF(F13=[1]Sheet1!$B$27,[1]Sheet1!$C$27,IF(F13=[1]Sheet1!$B$28,[1]Sheet1!$C$28,IF(F13=[1]Sheet1!$B$29,[1]Sheet1!$C$29,IF(F13=[1]Sheet1!$B$30,[1]Sheet1!$C$30,IF(F13=[1]Sheet1!$B$31,[1]Sheet1!$C$31,0)))))</f>
        <v>2500</v>
      </c>
    </row>
    <row r="14" spans="1:11">
      <c r="A14" s="2">
        <v>13</v>
      </c>
      <c r="B14" s="2" t="s">
        <v>14</v>
      </c>
      <c r="C14" s="9">
        <v>15000</v>
      </c>
      <c r="D14" s="4">
        <v>125043</v>
      </c>
      <c r="E14" s="4">
        <f t="shared" si="0"/>
        <v>5001.72</v>
      </c>
      <c r="F14" s="5">
        <v>2</v>
      </c>
      <c r="G14" s="7">
        <f>D14*[1]Sheet1!$O$20</f>
        <v>5001.72</v>
      </c>
      <c r="H14" s="7">
        <f>D14*[1]Sheet1!O32</f>
        <v>0</v>
      </c>
      <c r="I14" s="8" t="str">
        <f t="shared" si="1"/>
        <v>No</v>
      </c>
      <c r="J14" s="6" t="str">
        <f t="shared" si="2"/>
        <v>Rs 100/-</v>
      </c>
      <c r="K14" s="7">
        <f>IF(F14=[1]Sheet1!$B$27,[1]Sheet1!$C$27,IF(F14=[1]Sheet1!$B$28,[1]Sheet1!$C$28,IF(F14=[1]Sheet1!$B$29,[1]Sheet1!$C$29,IF(F14=[1]Sheet1!$B$30,[1]Sheet1!$C$30,IF(F14=[1]Sheet1!$B$31,[1]Sheet1!$C$31,0)))))</f>
        <v>1000</v>
      </c>
    </row>
    <row r="15" spans="1:11">
      <c r="A15" s="2">
        <v>14</v>
      </c>
      <c r="B15" s="2" t="s">
        <v>15</v>
      </c>
      <c r="C15" s="9">
        <v>10000</v>
      </c>
      <c r="D15" s="4">
        <v>24000</v>
      </c>
      <c r="E15" s="4">
        <f t="shared" si="0"/>
        <v>960</v>
      </c>
      <c r="F15" s="5">
        <v>5</v>
      </c>
      <c r="G15" s="7">
        <f>D15*[1]Sheet1!$O$20</f>
        <v>960</v>
      </c>
      <c r="H15" s="7">
        <f>D15*[1]Sheet1!O33</f>
        <v>0</v>
      </c>
      <c r="I15" s="8" t="str">
        <f t="shared" si="1"/>
        <v>Yes</v>
      </c>
      <c r="J15" s="6" t="str">
        <f t="shared" si="2"/>
        <v>Rs 5000/-</v>
      </c>
      <c r="K15" s="7">
        <f>IF(F15=[1]Sheet1!$B$27,[1]Sheet1!$C$27,IF(F15=[1]Sheet1!$B$28,[1]Sheet1!$C$28,IF(F15=[1]Sheet1!$B$29,[1]Sheet1!$C$29,IF(F15=[1]Sheet1!$B$30,[1]Sheet1!$C$30,IF(F15=[1]Sheet1!$B$31,[1]Sheet1!$C$31,0)))))</f>
        <v>6000</v>
      </c>
    </row>
    <row r="18" spans="1:7">
      <c r="A18" s="10" t="s">
        <v>23</v>
      </c>
      <c r="B18" s="10"/>
      <c r="C18" s="10"/>
      <c r="D18" s="10"/>
      <c r="E18" s="10"/>
    </row>
    <row r="19" spans="1:7">
      <c r="A19" s="17" t="s">
        <v>24</v>
      </c>
      <c r="B19" s="17"/>
      <c r="C19" s="17"/>
    </row>
    <row r="21" spans="1:7">
      <c r="A21" s="10" t="s">
        <v>25</v>
      </c>
      <c r="B21" s="10"/>
      <c r="C21" s="10"/>
      <c r="D21" s="10"/>
    </row>
    <row r="22" spans="1:7">
      <c r="A22" s="17" t="s">
        <v>26</v>
      </c>
      <c r="B22" s="17"/>
    </row>
    <row r="24" spans="1:7">
      <c r="A24" s="10" t="s">
        <v>27</v>
      </c>
      <c r="B24" s="10"/>
      <c r="C24" s="10"/>
      <c r="D24" s="10"/>
      <c r="E24" s="10"/>
    </row>
    <row r="25" spans="1:7">
      <c r="A25" s="17" t="s">
        <v>26</v>
      </c>
      <c r="B25" s="17"/>
    </row>
    <row r="27" spans="1:7">
      <c r="A27" s="10" t="s">
        <v>28</v>
      </c>
      <c r="B27" s="10"/>
      <c r="C27" s="10"/>
      <c r="D27" s="10"/>
      <c r="E27" s="10"/>
    </row>
    <row r="28" spans="1:7">
      <c r="A28" s="17" t="s">
        <v>26</v>
      </c>
      <c r="B28" s="17"/>
    </row>
    <row r="31" spans="1:7">
      <c r="C31" s="11" t="s">
        <v>0</v>
      </c>
      <c r="D31" s="11" t="s">
        <v>1</v>
      </c>
      <c r="E31" s="11" t="s">
        <v>29</v>
      </c>
      <c r="F31" s="11" t="s">
        <v>30</v>
      </c>
      <c r="G31" s="16" t="s">
        <v>31</v>
      </c>
    </row>
    <row r="32" spans="1:7">
      <c r="C32" s="12" t="s">
        <v>4</v>
      </c>
      <c r="D32" s="13">
        <v>10000</v>
      </c>
      <c r="E32" s="14">
        <f>D32*2%</f>
        <v>200</v>
      </c>
      <c r="F32" s="15">
        <v>3</v>
      </c>
      <c r="G32" s="4">
        <v>12000</v>
      </c>
    </row>
    <row r="33" spans="2:7">
      <c r="C33" s="12" t="s">
        <v>5</v>
      </c>
      <c r="D33" s="13">
        <v>20000</v>
      </c>
      <c r="E33" s="14">
        <f t="shared" ref="E33:E45" si="3">D33*2%</f>
        <v>400</v>
      </c>
      <c r="F33" s="15">
        <v>2</v>
      </c>
      <c r="G33" s="4">
        <v>250000</v>
      </c>
    </row>
    <row r="34" spans="2:7">
      <c r="C34" s="12" t="s">
        <v>6</v>
      </c>
      <c r="D34" s="13">
        <v>30000</v>
      </c>
      <c r="E34" s="14">
        <f t="shared" si="3"/>
        <v>600</v>
      </c>
      <c r="F34" s="15">
        <v>4</v>
      </c>
      <c r="G34" s="4">
        <v>10000</v>
      </c>
    </row>
    <row r="35" spans="2:7">
      <c r="C35" s="12" t="s">
        <v>7</v>
      </c>
      <c r="D35" s="13">
        <v>15000</v>
      </c>
      <c r="E35" s="14">
        <f t="shared" si="3"/>
        <v>300</v>
      </c>
      <c r="F35" s="15">
        <v>5</v>
      </c>
      <c r="G35" s="4">
        <v>200000</v>
      </c>
    </row>
    <row r="36" spans="2:7">
      <c r="C36" s="12" t="s">
        <v>5</v>
      </c>
      <c r="D36" s="13">
        <v>25000</v>
      </c>
      <c r="E36" s="14">
        <f t="shared" si="3"/>
        <v>500</v>
      </c>
      <c r="F36" s="15">
        <v>1</v>
      </c>
      <c r="G36" s="4">
        <v>30000</v>
      </c>
    </row>
    <row r="37" spans="2:7">
      <c r="C37" s="12" t="s">
        <v>8</v>
      </c>
      <c r="D37" s="13">
        <v>35000</v>
      </c>
      <c r="E37" s="14">
        <f t="shared" si="3"/>
        <v>700</v>
      </c>
      <c r="F37" s="15">
        <v>2</v>
      </c>
      <c r="G37" s="4">
        <v>340000</v>
      </c>
    </row>
    <row r="38" spans="2:7">
      <c r="C38" s="12" t="s">
        <v>9</v>
      </c>
      <c r="D38" s="13">
        <v>45000</v>
      </c>
      <c r="E38" s="14">
        <f t="shared" si="3"/>
        <v>900</v>
      </c>
      <c r="F38" s="15">
        <v>5</v>
      </c>
      <c r="G38" s="4">
        <v>100000</v>
      </c>
    </row>
    <row r="39" spans="2:7">
      <c r="C39" s="12" t="s">
        <v>10</v>
      </c>
      <c r="D39" s="13">
        <v>30000</v>
      </c>
      <c r="E39" s="14">
        <f t="shared" si="3"/>
        <v>600</v>
      </c>
      <c r="F39" s="15">
        <v>3</v>
      </c>
      <c r="G39" s="4">
        <v>234500</v>
      </c>
    </row>
    <row r="40" spans="2:7">
      <c r="C40" s="12" t="s">
        <v>11</v>
      </c>
      <c r="D40" s="13">
        <v>15000</v>
      </c>
      <c r="E40" s="14">
        <f t="shared" si="3"/>
        <v>300</v>
      </c>
      <c r="F40" s="15">
        <v>1</v>
      </c>
      <c r="G40" s="4">
        <v>125043</v>
      </c>
    </row>
    <row r="41" spans="2:7">
      <c r="C41" s="12" t="s">
        <v>10</v>
      </c>
      <c r="D41" s="13">
        <v>10000</v>
      </c>
      <c r="E41" s="14">
        <f t="shared" si="3"/>
        <v>200</v>
      </c>
      <c r="F41" s="15">
        <v>2</v>
      </c>
      <c r="G41" s="4">
        <v>340000</v>
      </c>
    </row>
    <row r="42" spans="2:7">
      <c r="C42" s="12" t="s">
        <v>12</v>
      </c>
      <c r="D42" s="13">
        <v>45000</v>
      </c>
      <c r="E42" s="14">
        <f t="shared" si="3"/>
        <v>900</v>
      </c>
      <c r="F42" s="15">
        <v>5</v>
      </c>
      <c r="G42" s="4">
        <v>100000</v>
      </c>
    </row>
    <row r="43" spans="2:7">
      <c r="C43" s="12" t="s">
        <v>13</v>
      </c>
      <c r="D43" s="13">
        <v>30000</v>
      </c>
      <c r="E43" s="14">
        <f t="shared" si="3"/>
        <v>600</v>
      </c>
      <c r="F43" s="15">
        <v>3</v>
      </c>
      <c r="G43" s="4">
        <v>234500</v>
      </c>
    </row>
    <row r="44" spans="2:7">
      <c r="C44" s="12" t="s">
        <v>14</v>
      </c>
      <c r="D44" s="13">
        <v>15000</v>
      </c>
      <c r="E44" s="14">
        <f t="shared" si="3"/>
        <v>300</v>
      </c>
      <c r="F44" s="15">
        <v>2</v>
      </c>
      <c r="G44" s="4">
        <v>125043</v>
      </c>
    </row>
    <row r="45" spans="2:7">
      <c r="C45" s="12" t="s">
        <v>15</v>
      </c>
      <c r="D45" s="13">
        <v>10000</v>
      </c>
      <c r="E45" s="14">
        <f t="shared" si="3"/>
        <v>200</v>
      </c>
      <c r="F45" s="15">
        <v>4</v>
      </c>
      <c r="G45" s="4">
        <v>24000</v>
      </c>
    </row>
    <row r="48" spans="2:7">
      <c r="B48" s="17" t="s">
        <v>32</v>
      </c>
      <c r="C48" s="17"/>
      <c r="D48" s="17"/>
    </row>
  </sheetData>
  <mergeCells count="5">
    <mergeCell ref="A19:C19"/>
    <mergeCell ref="A22:B22"/>
    <mergeCell ref="A25:B25"/>
    <mergeCell ref="A28:B28"/>
    <mergeCell ref="B48:D48"/>
  </mergeCells>
  <conditionalFormatting sqref="B2:B15">
    <cfRule type="duplicateValues" dxfId="0" priority="23"/>
    <cfRule type="containsText" dxfId="1" priority="1" operator="containsText" text="raj">
      <formula>NOT(ISERROR(SEARCH("raj",B2)))</formula>
    </cfRule>
  </conditionalFormatting>
  <conditionalFormatting sqref="C2:C15">
    <cfRule type="top10" dxfId="22" priority="13" percent="1" bottom="1" rank="20"/>
    <cfRule type="top10" dxfId="21" priority="14" percent="1" bottom="1" rank="20"/>
    <cfRule type="top10" dxfId="20" priority="15" bottom="1" rank="2"/>
    <cfRule type="top10" dxfId="19" priority="17" rank="5"/>
  </conditionalFormatting>
  <conditionalFormatting sqref="D2:D15">
    <cfRule type="cellIs" dxfId="18" priority="24" operator="between">
      <formula>5000</formula>
      <formula>10000</formula>
    </cfRule>
    <cfRule type="cellIs" dxfId="17" priority="25" operator="lessThan">
      <formula>5000</formula>
    </cfRule>
    <cfRule type="cellIs" dxfId="16" priority="26" operator="greaterThan">
      <formula>10000</formula>
    </cfRule>
    <cfRule type="cellIs" dxfId="15" priority="27" operator="greaterThan">
      <formula>" $10000"</formula>
    </cfRule>
    <cfRule type="cellIs" dxfId="14" priority="28" operator="greaterThan">
      <formula>" $10,000"</formula>
    </cfRule>
  </conditionalFormatting>
  <conditionalFormatting sqref="D32:D45">
    <cfRule type="dataBar" priority="1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{2FAA92B7-D2F8-499D-8C0E-957CA5C540AA}</x14:id>
        </ext>
      </extLst>
    </cfRule>
  </conditionalFormatting>
  <conditionalFormatting sqref="F32:F4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6"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A1:K15">
    <cfRule type="expression" dxfId="13" priority="2">
      <formula>$B2="sales"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AA92B7-D2F8-499D-8C0E-957CA5C540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D32:D45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Sanchita Malgundkar</dc:creator>
  <cp:lastModifiedBy>Siddhant Shrivastav</cp:lastModifiedBy>
  <dcterms:created xsi:type="dcterms:W3CDTF">2025-12-09T14:12:13Z</dcterms:created>
  <dcterms:modified xsi:type="dcterms:W3CDTF">2026-01-02T05:14:11Z</dcterms:modified>
</cp:coreProperties>
</file>