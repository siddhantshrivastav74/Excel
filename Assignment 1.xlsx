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\Downloads\"/>
    </mc:Choice>
  </mc:AlternateContent>
  <xr:revisionPtr revIDLastSave="0" documentId="8_{F4FB3CDC-CDFD-4571-A4B0-B491239689CF}" xr6:coauthVersionLast="47" xr6:coauthVersionMax="47" xr10:uidLastSave="{00000000-0000-0000-0000-000000000000}"/>
  <bookViews>
    <workbookView xWindow="-108" yWindow="-108" windowWidth="23256" windowHeight="12456" activeTab="4" xr2:uid="{7CF8FF8D-1E9E-4F6F-B9BE-85C3DFD5B285}"/>
  </bookViews>
  <sheets>
    <sheet name="city_statew" sheetId="3" r:id="rId1"/>
    <sheet name="Vlookup_Ans" sheetId="1" r:id="rId2"/>
    <sheet name="Hlookup_ans" sheetId="2" r:id="rId3"/>
    <sheet name="Sale_data" sheetId="4" r:id="rId4"/>
    <sheet name="cons" sheetId="10" r:id="rId5"/>
    <sheet name="cons2" sheetId="12" r:id="rId6"/>
    <sheet name="Match" sheetId="13" r:id="rId7"/>
  </sheets>
  <externalReferences>
    <externalReference r:id="rId8"/>
  </externalReferences>
  <definedNames>
    <definedName name="Employee">Vlookup_Ans!$A$1:$G$16</definedName>
    <definedName name="Employee_2">Hlookup_ans!$A$1:$P$7</definedName>
    <definedName name="Employee2">Hlookup_ans!$A$1:$P$7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4" l="1"/>
  <c r="I22" i="4"/>
  <c r="J22" i="4"/>
  <c r="K22" i="4"/>
  <c r="L22" i="4"/>
  <c r="M22" i="4"/>
  <c r="N22" i="4"/>
  <c r="C22" i="4"/>
  <c r="D22" i="4"/>
  <c r="E22" i="4"/>
  <c r="F22" i="4"/>
  <c r="G22" i="4"/>
  <c r="H22" i="4"/>
  <c r="B22" i="4"/>
  <c r="C1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2" i="4"/>
  <c r="D12" i="2"/>
  <c r="L5" i="1"/>
  <c r="L4" i="1"/>
  <c r="A14" i="13"/>
  <c r="A11" i="13"/>
  <c r="A8" i="13"/>
  <c r="A5" i="13"/>
  <c r="A2" i="13"/>
  <c r="E5" i="12"/>
  <c r="F5" i="12"/>
  <c r="G5" i="12"/>
  <c r="H5" i="12"/>
  <c r="E9" i="12"/>
  <c r="F9" i="12"/>
  <c r="G9" i="12"/>
  <c r="H9" i="12"/>
  <c r="E13" i="12"/>
  <c r="F13" i="12"/>
  <c r="G13" i="12"/>
  <c r="H13" i="12"/>
  <c r="E104" i="12"/>
  <c r="F104" i="12"/>
  <c r="G104" i="12"/>
  <c r="H104" i="12"/>
  <c r="E105" i="12"/>
  <c r="F105" i="12"/>
  <c r="G105" i="12"/>
  <c r="H105" i="12"/>
  <c r="E106" i="12"/>
  <c r="F106" i="12"/>
  <c r="G106" i="12"/>
  <c r="H106" i="12"/>
  <c r="E108" i="12"/>
  <c r="F108" i="12"/>
  <c r="G108" i="12"/>
  <c r="H108" i="12"/>
  <c r="E109" i="12"/>
  <c r="F109" i="12"/>
  <c r="F111" i="12" s="1"/>
  <c r="G109" i="12"/>
  <c r="G111" i="12" s="1"/>
  <c r="H109" i="12"/>
  <c r="E110" i="12"/>
  <c r="F110" i="12"/>
  <c r="G110" i="12"/>
  <c r="H110" i="12"/>
  <c r="E112" i="12"/>
  <c r="F112" i="12"/>
  <c r="G112" i="12"/>
  <c r="H112" i="12"/>
  <c r="E113" i="12"/>
  <c r="F113" i="12"/>
  <c r="G113" i="12"/>
  <c r="H113" i="12"/>
  <c r="E114" i="12"/>
  <c r="F114" i="12"/>
  <c r="G114" i="12"/>
  <c r="H114" i="12"/>
  <c r="E116" i="12"/>
  <c r="F116" i="12"/>
  <c r="G116" i="12"/>
  <c r="H116" i="12"/>
  <c r="E117" i="12"/>
  <c r="F117" i="12"/>
  <c r="G117" i="12"/>
  <c r="H117" i="12"/>
  <c r="E118" i="12"/>
  <c r="F118" i="12"/>
  <c r="G118" i="12"/>
  <c r="H118" i="12"/>
  <c r="E120" i="12"/>
  <c r="F120" i="12"/>
  <c r="G120" i="12"/>
  <c r="H120" i="12"/>
  <c r="E121" i="12"/>
  <c r="F121" i="12"/>
  <c r="G121" i="12"/>
  <c r="H121" i="12"/>
  <c r="E122" i="12"/>
  <c r="F122" i="12"/>
  <c r="G122" i="12"/>
  <c r="H122" i="12"/>
  <c r="E124" i="12"/>
  <c r="F124" i="12"/>
  <c r="G124" i="12"/>
  <c r="H124" i="12"/>
  <c r="E125" i="12"/>
  <c r="F125" i="12"/>
  <c r="F127" i="12" s="1"/>
  <c r="G125" i="12"/>
  <c r="H125" i="12"/>
  <c r="E126" i="12"/>
  <c r="F126" i="12"/>
  <c r="G126" i="12"/>
  <c r="H126" i="12"/>
  <c r="Q24" i="12"/>
  <c r="P24" i="12"/>
  <c r="O24" i="12"/>
  <c r="N24" i="12"/>
  <c r="Q23" i="12"/>
  <c r="P23" i="12"/>
  <c r="O23" i="12"/>
  <c r="N23" i="12"/>
  <c r="Q22" i="12"/>
  <c r="P22" i="12"/>
  <c r="O22" i="12"/>
  <c r="N22" i="12"/>
  <c r="Q20" i="12"/>
  <c r="P20" i="12"/>
  <c r="O20" i="12"/>
  <c r="N20" i="12"/>
  <c r="Q19" i="12"/>
  <c r="P19" i="12"/>
  <c r="O19" i="12"/>
  <c r="N19" i="12"/>
  <c r="Q18" i="12"/>
  <c r="P18" i="12"/>
  <c r="O18" i="12"/>
  <c r="N18" i="12"/>
  <c r="E77" i="12"/>
  <c r="F77" i="12"/>
  <c r="G77" i="12"/>
  <c r="H77" i="12"/>
  <c r="E78" i="12"/>
  <c r="F78" i="12"/>
  <c r="G78" i="12"/>
  <c r="H78" i="12"/>
  <c r="E79" i="12"/>
  <c r="F79" i="12"/>
  <c r="G79" i="12"/>
  <c r="H79" i="12"/>
  <c r="E81" i="12"/>
  <c r="F81" i="12"/>
  <c r="G81" i="12"/>
  <c r="H81" i="12"/>
  <c r="E82" i="12"/>
  <c r="F82" i="12"/>
  <c r="G82" i="12"/>
  <c r="H82" i="12"/>
  <c r="E83" i="12"/>
  <c r="F83" i="12"/>
  <c r="G83" i="12"/>
  <c r="H83" i="12"/>
  <c r="E85" i="12"/>
  <c r="F85" i="12"/>
  <c r="G85" i="12"/>
  <c r="H85" i="12"/>
  <c r="E86" i="12"/>
  <c r="F86" i="12"/>
  <c r="G86" i="12"/>
  <c r="H86" i="12"/>
  <c r="E87" i="12"/>
  <c r="F87" i="12"/>
  <c r="G87" i="12"/>
  <c r="H87" i="12"/>
  <c r="E89" i="12"/>
  <c r="F89" i="12"/>
  <c r="G89" i="12"/>
  <c r="H89" i="12"/>
  <c r="E90" i="12"/>
  <c r="F90" i="12"/>
  <c r="G90" i="12"/>
  <c r="H90" i="12"/>
  <c r="E91" i="12"/>
  <c r="F91" i="12"/>
  <c r="G91" i="12"/>
  <c r="H91" i="12"/>
  <c r="E93" i="12"/>
  <c r="F93" i="12"/>
  <c r="G93" i="12"/>
  <c r="H93" i="12"/>
  <c r="E94" i="12"/>
  <c r="F94" i="12"/>
  <c r="G94" i="12"/>
  <c r="H94" i="12"/>
  <c r="E95" i="12"/>
  <c r="F95" i="12"/>
  <c r="G95" i="12"/>
  <c r="H95" i="12"/>
  <c r="E97" i="12"/>
  <c r="F97" i="12"/>
  <c r="G97" i="12"/>
  <c r="H97" i="12"/>
  <c r="E98" i="12"/>
  <c r="F98" i="12"/>
  <c r="G98" i="12"/>
  <c r="H98" i="12"/>
  <c r="E99" i="12"/>
  <c r="F99" i="12"/>
  <c r="G99" i="12"/>
  <c r="H99" i="12"/>
  <c r="E48" i="12"/>
  <c r="F48" i="12"/>
  <c r="G48" i="12"/>
  <c r="H48" i="12"/>
  <c r="E49" i="12"/>
  <c r="F49" i="12"/>
  <c r="G49" i="12"/>
  <c r="H49" i="12"/>
  <c r="E50" i="12"/>
  <c r="F50" i="12"/>
  <c r="G50" i="12"/>
  <c r="H50" i="12"/>
  <c r="E52" i="12"/>
  <c r="F52" i="12"/>
  <c r="G52" i="12"/>
  <c r="H52" i="12"/>
  <c r="E53" i="12"/>
  <c r="F53" i="12"/>
  <c r="G53" i="12"/>
  <c r="H53" i="12"/>
  <c r="E54" i="12"/>
  <c r="F54" i="12"/>
  <c r="G54" i="12"/>
  <c r="H54" i="12"/>
  <c r="E56" i="12"/>
  <c r="F56" i="12"/>
  <c r="G56" i="12"/>
  <c r="H56" i="12"/>
  <c r="E57" i="12"/>
  <c r="F57" i="12"/>
  <c r="G57" i="12"/>
  <c r="H57" i="12"/>
  <c r="E58" i="12"/>
  <c r="F58" i="12"/>
  <c r="G58" i="12"/>
  <c r="H58" i="12"/>
  <c r="E60" i="12"/>
  <c r="F60" i="12"/>
  <c r="G60" i="12"/>
  <c r="H60" i="12"/>
  <c r="E61" i="12"/>
  <c r="F61" i="12"/>
  <c r="G61" i="12"/>
  <c r="H61" i="12"/>
  <c r="E62" i="12"/>
  <c r="F62" i="12"/>
  <c r="G62" i="12"/>
  <c r="H62" i="12"/>
  <c r="E64" i="12"/>
  <c r="F64" i="12"/>
  <c r="G64" i="12"/>
  <c r="H64" i="12"/>
  <c r="E65" i="12"/>
  <c r="F65" i="12"/>
  <c r="G65" i="12"/>
  <c r="H65" i="12"/>
  <c r="E66" i="12"/>
  <c r="F66" i="12"/>
  <c r="G66" i="12"/>
  <c r="H66" i="12"/>
  <c r="E68" i="12"/>
  <c r="F68" i="12"/>
  <c r="G68" i="12"/>
  <c r="H68" i="12"/>
  <c r="E69" i="12"/>
  <c r="F69" i="12"/>
  <c r="G69" i="12"/>
  <c r="H69" i="12"/>
  <c r="E70" i="12"/>
  <c r="F70" i="12"/>
  <c r="G70" i="12"/>
  <c r="H70" i="12"/>
  <c r="E32" i="12"/>
  <c r="F32" i="12"/>
  <c r="G32" i="12"/>
  <c r="H32" i="12"/>
  <c r="E33" i="12"/>
  <c r="F33" i="12"/>
  <c r="G33" i="12"/>
  <c r="H33" i="12"/>
  <c r="E34" i="12"/>
  <c r="F34" i="12"/>
  <c r="G34" i="12"/>
  <c r="H34" i="12"/>
  <c r="E21" i="12"/>
  <c r="F21" i="12"/>
  <c r="G21" i="12"/>
  <c r="H21" i="12"/>
  <c r="E25" i="12"/>
  <c r="F25" i="12"/>
  <c r="G25" i="12"/>
  <c r="H25" i="12"/>
  <c r="E26" i="12"/>
  <c r="F26" i="12"/>
  <c r="G26" i="12"/>
  <c r="H26" i="12"/>
  <c r="E28" i="12"/>
  <c r="F28" i="12"/>
  <c r="G28" i="12"/>
  <c r="H28" i="12"/>
  <c r="E29" i="12"/>
  <c r="F29" i="12"/>
  <c r="G29" i="12"/>
  <c r="H29" i="12"/>
  <c r="E30" i="12"/>
  <c r="F30" i="12"/>
  <c r="G30" i="12"/>
  <c r="H30" i="12"/>
  <c r="E36" i="12"/>
  <c r="F36" i="12"/>
  <c r="G36" i="12"/>
  <c r="H36" i="12"/>
  <c r="E37" i="12"/>
  <c r="F37" i="12"/>
  <c r="G37" i="12"/>
  <c r="H37" i="12"/>
  <c r="E38" i="12"/>
  <c r="F38" i="12"/>
  <c r="G38" i="12"/>
  <c r="H38" i="12"/>
  <c r="E40" i="12"/>
  <c r="F40" i="12"/>
  <c r="G40" i="12"/>
  <c r="H40" i="12"/>
  <c r="E41" i="12"/>
  <c r="F41" i="12"/>
  <c r="G41" i="12"/>
  <c r="H41" i="12"/>
  <c r="E42" i="12"/>
  <c r="F42" i="12"/>
  <c r="G42" i="12"/>
  <c r="H42" i="12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O22" i="4"/>
  <c r="P22" i="4"/>
  <c r="Q22" i="4"/>
  <c r="F12" i="2"/>
  <c r="E12" i="2"/>
  <c r="C12" i="2"/>
  <c r="D4" i="2"/>
  <c r="E4" i="2"/>
  <c r="F4" i="2"/>
  <c r="G4" i="2"/>
  <c r="H4" i="2"/>
  <c r="I4" i="2"/>
  <c r="J4" i="2"/>
  <c r="K4" i="2"/>
  <c r="L4" i="2"/>
  <c r="M4" i="2"/>
  <c r="N4" i="2"/>
  <c r="O4" i="2"/>
  <c r="P4" i="2"/>
  <c r="C4" i="2"/>
  <c r="B4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B7" i="2"/>
  <c r="H88" i="12" l="1"/>
  <c r="H115" i="12"/>
  <c r="G96" i="12"/>
  <c r="G80" i="12"/>
  <c r="H107" i="12"/>
  <c r="F119" i="12"/>
  <c r="F107" i="12"/>
  <c r="E51" i="12"/>
  <c r="G123" i="12"/>
  <c r="F123" i="12"/>
  <c r="F115" i="12"/>
  <c r="G92" i="12"/>
  <c r="E123" i="12"/>
  <c r="E115" i="12"/>
  <c r="H127" i="12"/>
  <c r="F80" i="12"/>
  <c r="P21" i="12"/>
  <c r="G127" i="12"/>
  <c r="G119" i="12"/>
  <c r="G115" i="12"/>
  <c r="G84" i="12"/>
  <c r="H80" i="12"/>
  <c r="E119" i="12"/>
  <c r="F84" i="12"/>
  <c r="H123" i="12"/>
  <c r="H119" i="12"/>
  <c r="H111" i="12"/>
  <c r="E127" i="12"/>
  <c r="E80" i="12"/>
  <c r="E107" i="12"/>
  <c r="G88" i="12"/>
  <c r="H84" i="12"/>
  <c r="O21" i="12"/>
  <c r="E111" i="12"/>
  <c r="G107" i="12"/>
  <c r="H92" i="12"/>
  <c r="F100" i="12"/>
  <c r="H55" i="12"/>
  <c r="E100" i="12"/>
  <c r="E84" i="12"/>
  <c r="N21" i="12"/>
  <c r="E92" i="12"/>
  <c r="F92" i="12"/>
  <c r="E96" i="12"/>
  <c r="F88" i="12"/>
  <c r="E88" i="12"/>
  <c r="Q21" i="12"/>
  <c r="H96" i="12"/>
  <c r="G100" i="12"/>
  <c r="H100" i="12"/>
  <c r="F96" i="12"/>
  <c r="N25" i="12"/>
  <c r="H51" i="12"/>
  <c r="O25" i="12"/>
  <c r="F55" i="12"/>
  <c r="P25" i="12"/>
  <c r="E55" i="12"/>
  <c r="F51" i="12"/>
  <c r="Q25" i="12"/>
  <c r="H59" i="12"/>
  <c r="G59" i="12"/>
  <c r="F71" i="12"/>
  <c r="G51" i="12"/>
  <c r="G55" i="12"/>
  <c r="G71" i="12"/>
  <c r="F59" i="12"/>
  <c r="H63" i="12"/>
  <c r="G63" i="12"/>
  <c r="E27" i="12"/>
  <c r="E67" i="12"/>
  <c r="H71" i="12"/>
  <c r="F63" i="12"/>
  <c r="E59" i="12"/>
  <c r="G67" i="12"/>
  <c r="E71" i="12"/>
  <c r="E63" i="12"/>
  <c r="H67" i="12"/>
  <c r="F67" i="12"/>
  <c r="G31" i="12"/>
  <c r="H35" i="12"/>
  <c r="G35" i="12"/>
  <c r="E31" i="12"/>
  <c r="F35" i="12"/>
  <c r="G17" i="12"/>
  <c r="E35" i="12"/>
  <c r="H17" i="12"/>
  <c r="H27" i="12"/>
  <c r="G27" i="12"/>
  <c r="F27" i="12"/>
  <c r="E17" i="12"/>
  <c r="G39" i="12"/>
  <c r="F39" i="12"/>
  <c r="E39" i="12"/>
  <c r="H43" i="12"/>
  <c r="G43" i="12"/>
  <c r="F43" i="12"/>
  <c r="H31" i="12"/>
  <c r="E43" i="12"/>
  <c r="F17" i="12"/>
  <c r="H39" i="12"/>
  <c r="F31" i="12"/>
</calcChain>
</file>

<file path=xl/sharedStrings.xml><?xml version="1.0" encoding="utf-8"?>
<sst xmlns="http://schemas.openxmlformats.org/spreadsheetml/2006/main" count="300" uniqueCount="70">
  <si>
    <t>Name</t>
  </si>
  <si>
    <t>Age</t>
  </si>
  <si>
    <t>Salary</t>
  </si>
  <si>
    <t>TDS 3%</t>
  </si>
  <si>
    <t>Pass Out Year</t>
  </si>
  <si>
    <t>City</t>
  </si>
  <si>
    <t>State</t>
  </si>
  <si>
    <t>Ramesh</t>
  </si>
  <si>
    <t>Mumbai</t>
  </si>
  <si>
    <t>Maharashtra</t>
  </si>
  <si>
    <t>Mahesh</t>
  </si>
  <si>
    <t>Udaipur</t>
  </si>
  <si>
    <t>Rajasthan</t>
  </si>
  <si>
    <t>Suresh</t>
  </si>
  <si>
    <t>Lucknow</t>
  </si>
  <si>
    <t>UP</t>
  </si>
  <si>
    <t>Jayesh</t>
  </si>
  <si>
    <t>Surat</t>
  </si>
  <si>
    <t>Gujrat</t>
  </si>
  <si>
    <t>Jitesh</t>
  </si>
  <si>
    <t>Banaras</t>
  </si>
  <si>
    <t>Gitesh</t>
  </si>
  <si>
    <t>Indore</t>
  </si>
  <si>
    <t>MP</t>
  </si>
  <si>
    <t>kamlesh</t>
  </si>
  <si>
    <t>Hitesh</t>
  </si>
  <si>
    <t>Pune</t>
  </si>
  <si>
    <t>Jay</t>
  </si>
  <si>
    <t>Bhopal</t>
  </si>
  <si>
    <t>ajay</t>
  </si>
  <si>
    <t>Rajesh</t>
  </si>
  <si>
    <t>Jyotpur</t>
  </si>
  <si>
    <t>Sujay</t>
  </si>
  <si>
    <t>Ahmdabaad</t>
  </si>
  <si>
    <t>Sanjay</t>
  </si>
  <si>
    <t>Dhananjay</t>
  </si>
  <si>
    <t>Gorakhpur</t>
  </si>
  <si>
    <t>Nirjay</t>
  </si>
  <si>
    <t>Find the following data of "Gitesh" using Vlookup.</t>
  </si>
  <si>
    <t>Pass out Yr</t>
  </si>
  <si>
    <t>Sales</t>
  </si>
  <si>
    <t>Commission %</t>
  </si>
  <si>
    <t>Rating</t>
  </si>
  <si>
    <t>Min Range</t>
  </si>
  <si>
    <t>Max Range</t>
  </si>
  <si>
    <t>Above</t>
  </si>
  <si>
    <t>Laptop</t>
  </si>
  <si>
    <t>Mobile</t>
  </si>
  <si>
    <t>Washing Machine</t>
  </si>
  <si>
    <t>Smart Watches</t>
  </si>
  <si>
    <t>Tabs</t>
  </si>
  <si>
    <t>Smart Pens</t>
  </si>
  <si>
    <t>Q1</t>
  </si>
  <si>
    <t>Q2</t>
  </si>
  <si>
    <t>Q3</t>
  </si>
  <si>
    <t>Q4</t>
  </si>
  <si>
    <t>Max(3 years)</t>
  </si>
  <si>
    <t>Min (3 years)</t>
  </si>
  <si>
    <t>Average (3 years)</t>
  </si>
  <si>
    <t>Ass</t>
  </si>
  <si>
    <t>Sum</t>
  </si>
  <si>
    <t>Max</t>
  </si>
  <si>
    <t>Min</t>
  </si>
  <si>
    <t>Average</t>
  </si>
  <si>
    <t>What is the Column Number of Q1.</t>
  </si>
  <si>
    <t>What is the column number of Smart Watches.</t>
  </si>
  <si>
    <t>What is the column number of Q4.</t>
  </si>
  <si>
    <t>What is the row number of 43,003.</t>
  </si>
  <si>
    <t>What is the row number of Q4.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</si>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</sst>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_);_(&quot;$&quot;* \(#,##0\);_(&quot;$&quot;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3">
    <xf numFmtId="0" fontId="0" fillId="0" borderId="0" xfId="0"/>
    <xf numFmtId="0" fontId="3" fillId="4" borderId="0" xfId="0" applyFont="1" applyFill="1" applyAlignment="1">
      <alignment vertical="center"/>
    </xf>
    <xf numFmtId="0" fontId="2" fillId="0" borderId="0" xfId="1">
      <alignment vertical="center"/>
    </xf>
    <xf numFmtId="0" fontId="2" fillId="6" borderId="1" xfId="1" applyFill="1" applyBorder="1" applyAlignment="1">
      <alignment horizontal="center" vertical="center"/>
    </xf>
    <xf numFmtId="0" fontId="5" fillId="5" borderId="1" xfId="1" applyFont="1" applyFill="1" applyBorder="1">
      <alignment vertical="center"/>
    </xf>
    <xf numFmtId="0" fontId="0" fillId="3" borderId="0" xfId="0" applyFill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6" borderId="1" xfId="0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0" borderId="6" xfId="0" applyBorder="1"/>
    <xf numFmtId="0" fontId="8" fillId="7" borderId="1" xfId="1" applyFont="1" applyFill="1" applyBorder="1">
      <alignment vertical="center"/>
    </xf>
    <xf numFmtId="49" fontId="1" fillId="8" borderId="1" xfId="1" applyNumberFormat="1" applyFont="1" applyFill="1" applyBorder="1">
      <alignment vertical="center"/>
    </xf>
    <xf numFmtId="1" fontId="2" fillId="8" borderId="1" xfId="1" applyNumberFormat="1" applyFill="1" applyBorder="1">
      <alignment vertical="center"/>
    </xf>
    <xf numFmtId="164" fontId="2" fillId="8" borderId="1" xfId="1" applyNumberFormat="1" applyFill="1" applyBorder="1">
      <alignment vertical="center"/>
    </xf>
    <xf numFmtId="49" fontId="2" fillId="8" borderId="1" xfId="1" applyNumberFormat="1" applyFill="1" applyBorder="1">
      <alignment vertical="center"/>
    </xf>
    <xf numFmtId="0" fontId="2" fillId="8" borderId="1" xfId="1" applyFill="1" applyBorder="1">
      <alignment vertical="center"/>
    </xf>
    <xf numFmtId="49" fontId="1" fillId="9" borderId="1" xfId="1" applyNumberFormat="1" applyFont="1" applyFill="1" applyBorder="1">
      <alignment vertical="center"/>
    </xf>
    <xf numFmtId="49" fontId="2" fillId="9" borderId="1" xfId="1" applyNumberFormat="1" applyFill="1" applyBorder="1">
      <alignment vertical="center"/>
    </xf>
    <xf numFmtId="1" fontId="2" fillId="9" borderId="1" xfId="1" applyNumberFormat="1" applyFill="1" applyBorder="1">
      <alignment vertical="center"/>
    </xf>
    <xf numFmtId="164" fontId="2" fillId="9" borderId="1" xfId="1" applyNumberFormat="1" applyFill="1" applyBorder="1">
      <alignment vertical="center"/>
    </xf>
    <xf numFmtId="0" fontId="2" fillId="9" borderId="1" xfId="1" applyFill="1" applyBorder="1">
      <alignment vertical="center"/>
    </xf>
    <xf numFmtId="0" fontId="8" fillId="10" borderId="1" xfId="1" applyFont="1" applyFill="1" applyBorder="1">
      <alignment vertical="center"/>
    </xf>
    <xf numFmtId="164" fontId="6" fillId="0" borderId="10" xfId="0" applyNumberFormat="1" applyFon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9603C0C-E053-4970-887B-C9599C428C61}"/>
  </cellStyles>
  <dxfs count="25"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88353363-2D39-486E-9FED-8C0F5C077014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831D2765-CA9C-4273-82E5-BBCF3652C700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chita\Downloads\Ass.xlsx" TargetMode="External"/><Relationship Id="rId1" Type="http://schemas.openxmlformats.org/officeDocument/2006/relationships/externalLinkPath" Target="/Users/Sanchita/Downloads/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ty_and_State"/>
      <sheetName val="VlookUp"/>
      <sheetName val="Hookup"/>
      <sheetName val="Sales_data_set"/>
      <sheetName val="cansole1"/>
      <sheetName val="cansole2"/>
      <sheetName val="cansole3"/>
      <sheetName val="Cansolidate"/>
      <sheetName val="Match"/>
    </sheetNames>
    <sheetDataSet>
      <sheetData sheetId="0"/>
      <sheetData sheetId="1"/>
      <sheetData sheetId="2"/>
      <sheetData sheetId="3"/>
      <sheetData sheetId="4">
        <row r="3">
          <cell r="B3">
            <v>200000</v>
          </cell>
          <cell r="C3">
            <v>200005</v>
          </cell>
          <cell r="D3">
            <v>400000</v>
          </cell>
          <cell r="E3">
            <v>420000</v>
          </cell>
        </row>
        <row r="4">
          <cell r="B4">
            <v>300000</v>
          </cell>
          <cell r="C4">
            <v>350000</v>
          </cell>
          <cell r="D4">
            <v>200000</v>
          </cell>
          <cell r="E4">
            <v>500000</v>
          </cell>
        </row>
        <row r="5">
          <cell r="B5">
            <v>120000</v>
          </cell>
          <cell r="C5">
            <v>120001</v>
          </cell>
          <cell r="D5">
            <v>150000</v>
          </cell>
          <cell r="E5">
            <v>160003</v>
          </cell>
        </row>
        <row r="6">
          <cell r="B6">
            <v>40000</v>
          </cell>
          <cell r="C6">
            <v>50001</v>
          </cell>
          <cell r="D6">
            <v>40006</v>
          </cell>
          <cell r="E6">
            <v>60007</v>
          </cell>
        </row>
        <row r="7">
          <cell r="B7">
            <v>90000</v>
          </cell>
          <cell r="C7">
            <v>100001</v>
          </cell>
          <cell r="D7">
            <v>80002</v>
          </cell>
          <cell r="E7">
            <v>85003</v>
          </cell>
        </row>
        <row r="8">
          <cell r="B8">
            <v>23000</v>
          </cell>
          <cell r="C8">
            <v>25001</v>
          </cell>
          <cell r="D8">
            <v>25002</v>
          </cell>
          <cell r="E8">
            <v>33003</v>
          </cell>
        </row>
      </sheetData>
      <sheetData sheetId="5">
        <row r="3">
          <cell r="B3">
            <v>100000</v>
          </cell>
          <cell r="C3">
            <v>100005</v>
          </cell>
          <cell r="D3">
            <v>200000</v>
          </cell>
          <cell r="E3">
            <v>320000</v>
          </cell>
        </row>
        <row r="4">
          <cell r="B4">
            <v>200000</v>
          </cell>
          <cell r="C4">
            <v>320000</v>
          </cell>
          <cell r="D4">
            <v>300000</v>
          </cell>
          <cell r="E4">
            <v>700000</v>
          </cell>
        </row>
        <row r="5">
          <cell r="B5">
            <v>100000</v>
          </cell>
          <cell r="C5">
            <v>150001</v>
          </cell>
          <cell r="D5">
            <v>150000</v>
          </cell>
          <cell r="E5">
            <v>180003</v>
          </cell>
        </row>
        <row r="6">
          <cell r="B6">
            <v>20000</v>
          </cell>
          <cell r="C6">
            <v>50001</v>
          </cell>
          <cell r="D6">
            <v>30006</v>
          </cell>
          <cell r="E6">
            <v>70007</v>
          </cell>
        </row>
        <row r="7">
          <cell r="B7">
            <v>100000</v>
          </cell>
          <cell r="C7">
            <v>100001</v>
          </cell>
          <cell r="D7">
            <v>80002</v>
          </cell>
          <cell r="E7">
            <v>95003</v>
          </cell>
        </row>
        <row r="8">
          <cell r="B8">
            <v>20000</v>
          </cell>
          <cell r="C8">
            <v>35001</v>
          </cell>
          <cell r="D8">
            <v>35002</v>
          </cell>
          <cell r="E8">
            <v>43003</v>
          </cell>
        </row>
      </sheetData>
      <sheetData sheetId="6">
        <row r="3">
          <cell r="B3">
            <v>50000</v>
          </cell>
          <cell r="C3">
            <v>100005</v>
          </cell>
          <cell r="D3">
            <v>200000</v>
          </cell>
          <cell r="E3">
            <v>450000</v>
          </cell>
        </row>
        <row r="4">
          <cell r="B4">
            <v>200000</v>
          </cell>
          <cell r="C4">
            <v>350000</v>
          </cell>
          <cell r="D4">
            <v>300000</v>
          </cell>
          <cell r="E4">
            <v>400000</v>
          </cell>
        </row>
        <row r="5">
          <cell r="B5">
            <v>150000</v>
          </cell>
          <cell r="C5">
            <v>160001</v>
          </cell>
          <cell r="D5">
            <v>180000</v>
          </cell>
          <cell r="E5">
            <v>170003</v>
          </cell>
        </row>
        <row r="6">
          <cell r="B6">
            <v>20000</v>
          </cell>
          <cell r="C6">
            <v>70001</v>
          </cell>
          <cell r="D6">
            <v>40006</v>
          </cell>
          <cell r="E6">
            <v>60007</v>
          </cell>
        </row>
        <row r="7">
          <cell r="B7">
            <v>70000</v>
          </cell>
          <cell r="C7">
            <v>100001</v>
          </cell>
          <cell r="D7">
            <v>180002</v>
          </cell>
          <cell r="E7">
            <v>85003</v>
          </cell>
        </row>
        <row r="8">
          <cell r="B8">
            <v>20000</v>
          </cell>
          <cell r="C8">
            <v>24001</v>
          </cell>
          <cell r="D8">
            <v>35002</v>
          </cell>
          <cell r="E8">
            <v>33003</v>
          </cell>
        </row>
      </sheetData>
      <sheetData sheetId="7"/>
      <sheetData sheetId="8">
        <row r="2">
          <cell r="A2" t="str">
            <v>Product</v>
          </cell>
          <cell r="B2" t="str">
            <v>Q1</v>
          </cell>
          <cell r="C2" t="str">
            <v>Q2</v>
          </cell>
          <cell r="D2" t="str">
            <v>Q3</v>
          </cell>
          <cell r="E2" t="str">
            <v>Q4</v>
          </cell>
        </row>
        <row r="3">
          <cell r="E3">
            <v>320000</v>
          </cell>
        </row>
        <row r="4">
          <cell r="E4">
            <v>700000</v>
          </cell>
        </row>
        <row r="5">
          <cell r="E5">
            <v>180003</v>
          </cell>
        </row>
        <row r="6">
          <cell r="A6" t="str">
            <v>Smart Watches</v>
          </cell>
          <cell r="B6">
            <v>20000</v>
          </cell>
          <cell r="C6">
            <v>50001</v>
          </cell>
          <cell r="D6">
            <v>30006</v>
          </cell>
          <cell r="E6">
            <v>70007</v>
          </cell>
        </row>
        <row r="7">
          <cell r="E7">
            <v>95003</v>
          </cell>
        </row>
        <row r="8">
          <cell r="E8">
            <v>43003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Sanchita/Downloads/Ass.xlsx" TargetMode="External"/><Relationship Id="rId2" Type="http://schemas.openxmlformats.org/officeDocument/2006/relationships/externalLinkPath" Target="/Users/Sanchita/Downloads/Ass.xlsx" TargetMode="External"/><Relationship Id="rId1" Type="http://schemas.openxmlformats.org/officeDocument/2006/relationships/externalLinkPath" Target="/Users/Sanchita/Downloads/As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AA4B-1A9C-4348-A97A-77443E319E04}">
  <dimension ref="D5:O6"/>
  <sheetViews>
    <sheetView workbookViewId="0">
      <selection activeCell="D5" sqref="D5"/>
    </sheetView>
  </sheetViews>
  <sheetFormatPr defaultRowHeight="14.4"/>
  <sheetData>
    <row r="5" spans="4:15" ht="21">
      <c r="D5" s="1" t="s">
        <v>5</v>
      </c>
      <c r="E5" s="5" t="s">
        <v>8</v>
      </c>
      <c r="F5" s="5" t="s">
        <v>11</v>
      </c>
      <c r="G5" s="5" t="s">
        <v>14</v>
      </c>
      <c r="H5" s="5" t="s">
        <v>17</v>
      </c>
      <c r="I5" s="5" t="s">
        <v>20</v>
      </c>
      <c r="J5" s="5" t="s">
        <v>22</v>
      </c>
      <c r="K5" s="5" t="s">
        <v>26</v>
      </c>
      <c r="L5" s="5" t="s">
        <v>28</v>
      </c>
      <c r="M5" s="5" t="s">
        <v>31</v>
      </c>
      <c r="N5" s="5" t="s">
        <v>33</v>
      </c>
      <c r="O5" s="5" t="s">
        <v>36</v>
      </c>
    </row>
    <row r="6" spans="4:15" ht="21">
      <c r="D6" s="1" t="s">
        <v>6</v>
      </c>
      <c r="E6" s="5" t="s">
        <v>9</v>
      </c>
      <c r="F6" s="5" t="s">
        <v>12</v>
      </c>
      <c r="G6" s="5" t="s">
        <v>15</v>
      </c>
      <c r="H6" s="5" t="s">
        <v>18</v>
      </c>
      <c r="I6" s="5" t="s">
        <v>15</v>
      </c>
      <c r="J6" s="5" t="s">
        <v>23</v>
      </c>
      <c r="K6" s="5" t="s">
        <v>9</v>
      </c>
      <c r="L6" s="5" t="s">
        <v>23</v>
      </c>
      <c r="M6" s="5" t="s">
        <v>12</v>
      </c>
      <c r="N6" s="5" t="s">
        <v>18</v>
      </c>
      <c r="O6" s="5" t="s">
        <v>15</v>
      </c>
    </row>
  </sheetData>
  <conditionalFormatting sqref="E5:E6">
    <cfRule type="expression" dxfId="7" priority="1">
      <formula>OR($D3="Mumbai",$E3&gt;60000)</formula>
    </cfRule>
    <cfRule type="expression" dxfId="6" priority="2">
      <formula>OR(#REF!="Mumbai",#REF!&gt;60000)</formula>
    </cfRule>
  </conditionalFormatting>
  <conditionalFormatting sqref="F5:O6">
    <cfRule type="expression" dxfId="5" priority="3">
      <formula>OR(#REF!="Mumbai",#REF!&gt;60000)</formula>
    </cfRule>
    <cfRule type="expression" dxfId="4" priority="4">
      <formula>OR($D15="Mumbai",$E15&gt;60000)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DC3E-5357-4BA4-A410-D81A3AFCBDE2}">
  <dimension ref="A1:N16"/>
  <sheetViews>
    <sheetView workbookViewId="0">
      <selection activeCell="L5" sqref="L5"/>
    </sheetView>
  </sheetViews>
  <sheetFormatPr defaultRowHeight="14.4"/>
  <cols>
    <col min="1" max="1" width="14.44140625" customWidth="1"/>
    <col min="2" max="2" width="11.109375" customWidth="1"/>
    <col min="3" max="3" width="10.21875" customWidth="1"/>
    <col min="4" max="4" width="13.5546875" customWidth="1"/>
    <col min="5" max="5" width="21.109375" customWidth="1"/>
    <col min="6" max="6" width="11.44140625" customWidth="1"/>
    <col min="7" max="7" width="13.109375" customWidth="1"/>
    <col min="11" max="11" width="14.44140625" customWidth="1"/>
  </cols>
  <sheetData>
    <row r="1" spans="1:14" ht="2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J1" s="2"/>
      <c r="K1" s="2" t="s">
        <v>38</v>
      </c>
      <c r="L1" s="2"/>
      <c r="M1" s="2"/>
      <c r="N1" s="2"/>
    </row>
    <row r="2" spans="1:14" ht="18">
      <c r="A2" s="26" t="s">
        <v>7</v>
      </c>
      <c r="B2" s="27">
        <v>21</v>
      </c>
      <c r="C2" s="28">
        <v>25800</v>
      </c>
      <c r="D2" s="28">
        <v>774</v>
      </c>
      <c r="E2" s="27">
        <v>2016</v>
      </c>
      <c r="F2" s="29" t="s">
        <v>8</v>
      </c>
      <c r="G2" s="30" t="s">
        <v>9</v>
      </c>
      <c r="J2" s="2"/>
      <c r="K2" s="4" t="s">
        <v>0</v>
      </c>
      <c r="L2" s="3" t="s">
        <v>21</v>
      </c>
      <c r="M2" s="2"/>
      <c r="N2" s="2"/>
    </row>
    <row r="3" spans="1:14">
      <c r="A3" s="29" t="s">
        <v>10</v>
      </c>
      <c r="B3" s="27">
        <v>43</v>
      </c>
      <c r="C3" s="28">
        <v>73000</v>
      </c>
      <c r="D3" s="28">
        <v>2190</v>
      </c>
      <c r="E3" s="27">
        <v>2014</v>
      </c>
      <c r="F3" s="29" t="s">
        <v>11</v>
      </c>
      <c r="G3" s="30" t="s">
        <v>12</v>
      </c>
    </row>
    <row r="4" spans="1:14" ht="18">
      <c r="A4" s="29" t="s">
        <v>13</v>
      </c>
      <c r="B4" s="27">
        <v>32</v>
      </c>
      <c r="C4" s="28">
        <v>54999</v>
      </c>
      <c r="D4" s="28">
        <v>1649.97</v>
      </c>
      <c r="E4" s="27">
        <v>2016</v>
      </c>
      <c r="F4" s="29" t="s">
        <v>14</v>
      </c>
      <c r="G4" s="30" t="s">
        <v>15</v>
      </c>
      <c r="J4" s="2"/>
      <c r="K4" s="4" t="s">
        <v>1</v>
      </c>
      <c r="L4" s="3">
        <f>_xlfn.XLOOKUP(L2,A2:A16,B2:B16,"not found")</f>
        <v>34</v>
      </c>
      <c r="M4" s="2"/>
      <c r="N4" s="2"/>
    </row>
    <row r="5" spans="1:14" ht="18">
      <c r="A5" s="29" t="s">
        <v>16</v>
      </c>
      <c r="B5" s="27">
        <v>24</v>
      </c>
      <c r="C5" s="28">
        <v>45969</v>
      </c>
      <c r="D5" s="28">
        <v>1379.07</v>
      </c>
      <c r="E5" s="27">
        <v>2017</v>
      </c>
      <c r="F5" s="29" t="s">
        <v>17</v>
      </c>
      <c r="G5" s="30" t="s">
        <v>18</v>
      </c>
      <c r="J5" s="2"/>
      <c r="K5" s="4" t="s">
        <v>2</v>
      </c>
      <c r="L5" s="3">
        <f>_xlfn.XLOOKUP(L2,A2:A16,C2:C16)</f>
        <v>85000</v>
      </c>
      <c r="M5" s="2"/>
      <c r="N5" s="2"/>
    </row>
    <row r="6" spans="1:14" ht="18">
      <c r="A6" s="29" t="s">
        <v>19</v>
      </c>
      <c r="B6" s="27">
        <v>43</v>
      </c>
      <c r="C6" s="28">
        <v>65999</v>
      </c>
      <c r="D6" s="28">
        <v>1979.97</v>
      </c>
      <c r="E6" s="27">
        <v>2014</v>
      </c>
      <c r="F6" s="29" t="s">
        <v>20</v>
      </c>
      <c r="G6" s="30" t="s">
        <v>15</v>
      </c>
      <c r="J6" s="2"/>
      <c r="K6" s="4" t="s">
        <v>5</v>
      </c>
      <c r="L6" s="3" t="s">
        <v>22</v>
      </c>
      <c r="M6" s="2"/>
      <c r="N6" s="2"/>
    </row>
    <row r="7" spans="1:14" ht="18">
      <c r="A7" s="29" t="s">
        <v>21</v>
      </c>
      <c r="B7" s="27">
        <v>34</v>
      </c>
      <c r="C7" s="28">
        <v>85000</v>
      </c>
      <c r="D7" s="28">
        <v>2550</v>
      </c>
      <c r="E7" s="27">
        <v>2016</v>
      </c>
      <c r="F7" s="29" t="s">
        <v>22</v>
      </c>
      <c r="G7" s="30" t="s">
        <v>23</v>
      </c>
      <c r="J7" s="2"/>
      <c r="K7" s="4" t="s">
        <v>39</v>
      </c>
      <c r="L7" s="3">
        <v>2016</v>
      </c>
      <c r="M7" s="2"/>
      <c r="N7" s="2"/>
    </row>
    <row r="8" spans="1:14">
      <c r="A8" s="29" t="s">
        <v>24</v>
      </c>
      <c r="B8" s="27">
        <v>32</v>
      </c>
      <c r="C8" s="28">
        <v>55869</v>
      </c>
      <c r="D8" s="28">
        <v>1676.07</v>
      </c>
      <c r="E8" s="27">
        <v>2016</v>
      </c>
      <c r="F8" s="29" t="s">
        <v>8</v>
      </c>
      <c r="G8" s="30" t="s">
        <v>9</v>
      </c>
    </row>
    <row r="9" spans="1:14">
      <c r="A9" s="29" t="s">
        <v>25</v>
      </c>
      <c r="B9" s="27">
        <v>43</v>
      </c>
      <c r="C9" s="28">
        <v>58399</v>
      </c>
      <c r="D9" s="28">
        <v>1751.97</v>
      </c>
      <c r="E9" s="27">
        <v>2014</v>
      </c>
      <c r="F9" s="29" t="s">
        <v>26</v>
      </c>
      <c r="G9" s="30" t="s">
        <v>9</v>
      </c>
    </row>
    <row r="10" spans="1:14">
      <c r="A10" s="29" t="s">
        <v>27</v>
      </c>
      <c r="B10" s="27">
        <v>23</v>
      </c>
      <c r="C10" s="28">
        <v>45858</v>
      </c>
      <c r="D10" s="28">
        <v>1375.74</v>
      </c>
      <c r="E10" s="27">
        <v>2019</v>
      </c>
      <c r="F10" s="29" t="s">
        <v>28</v>
      </c>
      <c r="G10" s="30" t="s">
        <v>23</v>
      </c>
    </row>
    <row r="11" spans="1:14">
      <c r="A11" s="29" t="s">
        <v>29</v>
      </c>
      <c r="B11" s="27">
        <v>25</v>
      </c>
      <c r="C11" s="28">
        <v>46899</v>
      </c>
      <c r="D11" s="28">
        <v>1406.97</v>
      </c>
      <c r="E11" s="27">
        <v>2019</v>
      </c>
      <c r="F11" s="29" t="s">
        <v>22</v>
      </c>
      <c r="G11" s="30" t="s">
        <v>23</v>
      </c>
    </row>
    <row r="12" spans="1:14">
      <c r="A12" s="29" t="s">
        <v>30</v>
      </c>
      <c r="B12" s="27">
        <v>28</v>
      </c>
      <c r="C12" s="28">
        <v>23500</v>
      </c>
      <c r="D12" s="28">
        <v>705</v>
      </c>
      <c r="E12" s="27">
        <v>2016</v>
      </c>
      <c r="F12" s="29" t="s">
        <v>31</v>
      </c>
      <c r="G12" s="30" t="s">
        <v>12</v>
      </c>
    </row>
    <row r="13" spans="1:14">
      <c r="A13" s="29" t="s">
        <v>32</v>
      </c>
      <c r="B13" s="27">
        <v>32</v>
      </c>
      <c r="C13" s="28">
        <v>38000</v>
      </c>
      <c r="D13" s="28">
        <v>1140</v>
      </c>
      <c r="E13" s="27">
        <v>2014</v>
      </c>
      <c r="F13" s="29" t="s">
        <v>33</v>
      </c>
      <c r="G13" s="30" t="s">
        <v>18</v>
      </c>
    </row>
    <row r="14" spans="1:14">
      <c r="A14" s="29" t="s">
        <v>34</v>
      </c>
      <c r="B14" s="27">
        <v>43</v>
      </c>
      <c r="C14" s="28">
        <v>28500</v>
      </c>
      <c r="D14" s="28">
        <v>855</v>
      </c>
      <c r="E14" s="27">
        <v>2019</v>
      </c>
      <c r="F14" s="29" t="s">
        <v>17</v>
      </c>
      <c r="G14" s="30" t="s">
        <v>18</v>
      </c>
    </row>
    <row r="15" spans="1:14">
      <c r="A15" s="29" t="s">
        <v>35</v>
      </c>
      <c r="B15" s="27">
        <v>20</v>
      </c>
      <c r="C15" s="28">
        <v>48800</v>
      </c>
      <c r="D15" s="28">
        <v>1464</v>
      </c>
      <c r="E15" s="27">
        <v>2019</v>
      </c>
      <c r="F15" s="29" t="s">
        <v>36</v>
      </c>
      <c r="G15" s="30" t="s">
        <v>15</v>
      </c>
    </row>
    <row r="16" spans="1:14">
      <c r="A16" s="29" t="s">
        <v>37</v>
      </c>
      <c r="B16" s="27">
        <v>37</v>
      </c>
      <c r="C16" s="28">
        <v>57300</v>
      </c>
      <c r="D16" s="28">
        <v>1719</v>
      </c>
      <c r="E16" s="27">
        <v>2014</v>
      </c>
      <c r="F16" s="29" t="s">
        <v>26</v>
      </c>
      <c r="G16" s="3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33BE-7FA4-4866-9AF7-3330C2C28791}">
  <dimension ref="A1:P12"/>
  <sheetViews>
    <sheetView workbookViewId="0">
      <selection activeCell="B10" sqref="B10"/>
    </sheetView>
  </sheetViews>
  <sheetFormatPr defaultRowHeight="14.4"/>
  <cols>
    <col min="1" max="1" width="17.77734375" customWidth="1"/>
    <col min="2" max="2" width="13.109375" customWidth="1"/>
    <col min="3" max="3" width="12" customWidth="1"/>
    <col min="8" max="8" width="13.21875" customWidth="1"/>
    <col min="9" max="9" width="12.21875" customWidth="1"/>
    <col min="16" max="16" width="14.77734375" customWidth="1"/>
  </cols>
  <sheetData>
    <row r="1" spans="1:16" ht="21">
      <c r="A1" s="36" t="s">
        <v>0</v>
      </c>
      <c r="B1" s="31" t="s">
        <v>7</v>
      </c>
      <c r="C1" s="32" t="s">
        <v>10</v>
      </c>
      <c r="D1" s="32" t="s">
        <v>13</v>
      </c>
      <c r="E1" s="32" t="s">
        <v>16</v>
      </c>
      <c r="F1" s="32" t="s">
        <v>19</v>
      </c>
      <c r="G1" s="32" t="s">
        <v>21</v>
      </c>
      <c r="H1" s="32" t="s">
        <v>24</v>
      </c>
      <c r="I1" s="32" t="s">
        <v>25</v>
      </c>
      <c r="J1" s="32" t="s">
        <v>27</v>
      </c>
      <c r="K1" s="32" t="s">
        <v>29</v>
      </c>
      <c r="L1" s="32" t="s">
        <v>30</v>
      </c>
      <c r="M1" s="32" t="s">
        <v>32</v>
      </c>
      <c r="N1" s="32" t="s">
        <v>34</v>
      </c>
      <c r="O1" s="32" t="s">
        <v>35</v>
      </c>
      <c r="P1" s="32" t="s">
        <v>37</v>
      </c>
    </row>
    <row r="2" spans="1:16" ht="21">
      <c r="A2" s="36" t="s">
        <v>1</v>
      </c>
      <c r="B2" s="33">
        <v>21</v>
      </c>
      <c r="C2" s="33">
        <v>43</v>
      </c>
      <c r="D2" s="33">
        <v>32</v>
      </c>
      <c r="E2" s="33">
        <v>24</v>
      </c>
      <c r="F2" s="33">
        <v>43</v>
      </c>
      <c r="G2" s="33">
        <v>34</v>
      </c>
      <c r="H2" s="33">
        <v>32</v>
      </c>
      <c r="I2" s="33">
        <v>43</v>
      </c>
      <c r="J2" s="33">
        <v>23</v>
      </c>
      <c r="K2" s="33">
        <v>25</v>
      </c>
      <c r="L2" s="33">
        <v>28</v>
      </c>
      <c r="M2" s="33">
        <v>32</v>
      </c>
      <c r="N2" s="33">
        <v>43</v>
      </c>
      <c r="O2" s="33">
        <v>20</v>
      </c>
      <c r="P2" s="33">
        <v>37</v>
      </c>
    </row>
    <row r="3" spans="1:16" ht="21">
      <c r="A3" s="36" t="s">
        <v>2</v>
      </c>
      <c r="B3" s="34">
        <v>25800</v>
      </c>
      <c r="C3" s="34">
        <v>73000</v>
      </c>
      <c r="D3" s="34">
        <v>54999</v>
      </c>
      <c r="E3" s="34">
        <v>45969</v>
      </c>
      <c r="F3" s="34">
        <v>65999</v>
      </c>
      <c r="G3" s="34">
        <v>85000</v>
      </c>
      <c r="H3" s="34">
        <v>55869</v>
      </c>
      <c r="I3" s="34">
        <v>58399</v>
      </c>
      <c r="J3" s="34">
        <v>45858</v>
      </c>
      <c r="K3" s="34">
        <v>46899</v>
      </c>
      <c r="L3" s="34">
        <v>23500</v>
      </c>
      <c r="M3" s="34">
        <v>38000</v>
      </c>
      <c r="N3" s="34">
        <v>28500</v>
      </c>
      <c r="O3" s="34">
        <v>48800</v>
      </c>
      <c r="P3" s="34">
        <v>57300</v>
      </c>
    </row>
    <row r="4" spans="1:16" ht="21">
      <c r="A4" s="36" t="s">
        <v>3</v>
      </c>
      <c r="B4" s="34">
        <f>B3*3%</f>
        <v>774</v>
      </c>
      <c r="C4" s="34">
        <f>C3*3%</f>
        <v>2190</v>
      </c>
      <c r="D4" s="34">
        <f t="shared" ref="D4:P4" si="0">D3*3%</f>
        <v>1649.97</v>
      </c>
      <c r="E4" s="34">
        <f t="shared" si="0"/>
        <v>1379.07</v>
      </c>
      <c r="F4" s="34">
        <f t="shared" si="0"/>
        <v>1979.97</v>
      </c>
      <c r="G4" s="34">
        <f t="shared" si="0"/>
        <v>2550</v>
      </c>
      <c r="H4" s="34">
        <f t="shared" si="0"/>
        <v>1676.07</v>
      </c>
      <c r="I4" s="34">
        <f t="shared" si="0"/>
        <v>1751.97</v>
      </c>
      <c r="J4" s="34">
        <f t="shared" si="0"/>
        <v>1375.74</v>
      </c>
      <c r="K4" s="34">
        <f t="shared" si="0"/>
        <v>1406.97</v>
      </c>
      <c r="L4" s="34">
        <f t="shared" si="0"/>
        <v>705</v>
      </c>
      <c r="M4" s="34">
        <f t="shared" si="0"/>
        <v>1140</v>
      </c>
      <c r="N4" s="34">
        <f t="shared" si="0"/>
        <v>855</v>
      </c>
      <c r="O4" s="34">
        <f t="shared" si="0"/>
        <v>1464</v>
      </c>
      <c r="P4" s="34">
        <f t="shared" si="0"/>
        <v>1719</v>
      </c>
    </row>
    <row r="5" spans="1:16" ht="21">
      <c r="A5" s="36" t="s">
        <v>4</v>
      </c>
      <c r="B5" s="33">
        <v>2016</v>
      </c>
      <c r="C5" s="33">
        <v>2014</v>
      </c>
      <c r="D5" s="33">
        <v>2016</v>
      </c>
      <c r="E5" s="33">
        <v>2017</v>
      </c>
      <c r="F5" s="33">
        <v>2014</v>
      </c>
      <c r="G5" s="33">
        <v>2016</v>
      </c>
      <c r="H5" s="33">
        <v>2016</v>
      </c>
      <c r="I5" s="33">
        <v>2014</v>
      </c>
      <c r="J5" s="33">
        <v>2019</v>
      </c>
      <c r="K5" s="33">
        <v>2019</v>
      </c>
      <c r="L5" s="33">
        <v>2016</v>
      </c>
      <c r="M5" s="33">
        <v>2014</v>
      </c>
      <c r="N5" s="33">
        <v>2019</v>
      </c>
      <c r="O5" s="33">
        <v>2019</v>
      </c>
      <c r="P5" s="33">
        <v>2014</v>
      </c>
    </row>
    <row r="6" spans="1:16" ht="21">
      <c r="A6" s="36" t="s">
        <v>5</v>
      </c>
      <c r="B6" s="32" t="s">
        <v>8</v>
      </c>
      <c r="C6" s="32" t="s">
        <v>11</v>
      </c>
      <c r="D6" s="32" t="s">
        <v>14</v>
      </c>
      <c r="E6" s="32" t="s">
        <v>17</v>
      </c>
      <c r="F6" s="32" t="s">
        <v>20</v>
      </c>
      <c r="G6" s="32" t="s">
        <v>22</v>
      </c>
      <c r="H6" s="32" t="s">
        <v>8</v>
      </c>
      <c r="I6" s="32" t="s">
        <v>26</v>
      </c>
      <c r="J6" s="32" t="s">
        <v>28</v>
      </c>
      <c r="K6" s="32" t="s">
        <v>22</v>
      </c>
      <c r="L6" s="32" t="s">
        <v>31</v>
      </c>
      <c r="M6" s="32" t="s">
        <v>33</v>
      </c>
      <c r="N6" s="32" t="s">
        <v>17</v>
      </c>
      <c r="O6" s="32" t="s">
        <v>36</v>
      </c>
      <c r="P6" s="32" t="s">
        <v>26</v>
      </c>
    </row>
    <row r="7" spans="1:16" ht="21">
      <c r="A7" s="36" t="s">
        <v>6</v>
      </c>
      <c r="B7" s="35" t="str">
        <f>HLOOKUP(B6,city_statew!$E$5:$O$6,2,FALSE)</f>
        <v>Maharashtra</v>
      </c>
      <c r="C7" s="35" t="str">
        <f>HLOOKUP(C6,city_statew!$E$5:$O$6,2,FALSE)</f>
        <v>Rajasthan</v>
      </c>
      <c r="D7" s="35" t="str">
        <f>HLOOKUP(D6,city_statew!$E$5:$O$6,2,FALSE)</f>
        <v>UP</v>
      </c>
      <c r="E7" s="35" t="str">
        <f>HLOOKUP(E6,city_statew!$E$5:$O$6,2,FALSE)</f>
        <v>Gujrat</v>
      </c>
      <c r="F7" s="35" t="str">
        <f>HLOOKUP(F6,city_statew!$E$5:$O$6,2,FALSE)</f>
        <v>UP</v>
      </c>
      <c r="G7" s="35" t="str">
        <f>HLOOKUP(G6,city_statew!$E$5:$O$6,2,FALSE)</f>
        <v>MP</v>
      </c>
      <c r="H7" s="35" t="str">
        <f>HLOOKUP(H6,city_statew!$E$5:$O$6,2,FALSE)</f>
        <v>Maharashtra</v>
      </c>
      <c r="I7" s="35" t="str">
        <f>HLOOKUP(I6,city_statew!$E$5:$O$6,2,FALSE)</f>
        <v>Maharashtra</v>
      </c>
      <c r="J7" s="35" t="str">
        <f>HLOOKUP(J6,city_statew!$E$5:$O$6,2,FALSE)</f>
        <v>MP</v>
      </c>
      <c r="K7" s="35" t="str">
        <f>HLOOKUP(K6,city_statew!$E$5:$O$6,2,FALSE)</f>
        <v>MP</v>
      </c>
      <c r="L7" s="35" t="str">
        <f>HLOOKUP(L6,city_statew!$E$5:$O$6,2,FALSE)</f>
        <v>Rajasthan</v>
      </c>
      <c r="M7" s="35" t="str">
        <f>HLOOKUP(M6,city_statew!$E$5:$O$6,2,FALSE)</f>
        <v>Gujrat</v>
      </c>
      <c r="N7" s="35" t="str">
        <f>HLOOKUP(N6,city_statew!$E$5:$O$6,2,FALSE)</f>
        <v>Gujrat</v>
      </c>
      <c r="O7" s="35" t="str">
        <f>HLOOKUP(O6,city_statew!$E$5:$O$6,2,FALSE)</f>
        <v>UP</v>
      </c>
      <c r="P7" s="35" t="str">
        <f>HLOOKUP(P6,city_statew!$E$5:$O$6,2,FALSE)</f>
        <v>Maharashtra</v>
      </c>
    </row>
    <row r="11" spans="1:16" ht="18">
      <c r="A11" s="6" t="s">
        <v>0</v>
      </c>
      <c r="B11" s="7"/>
      <c r="C11" s="6" t="s">
        <v>1</v>
      </c>
      <c r="D11" s="6" t="s">
        <v>2</v>
      </c>
      <c r="E11" s="6" t="s">
        <v>5</v>
      </c>
      <c r="F11" s="40" t="s">
        <v>39</v>
      </c>
      <c r="G11" s="41"/>
    </row>
    <row r="12" spans="1:16">
      <c r="A12" s="8" t="s">
        <v>21</v>
      </c>
      <c r="B12" s="7"/>
      <c r="C12" s="8">
        <f>HLOOKUP(A12,B1:P7,2,FALSE)</f>
        <v>34</v>
      </c>
      <c r="D12" s="8">
        <f>HLOOKUP(A12,B1:P7,3,FALSE)</f>
        <v>85000</v>
      </c>
      <c r="E12" s="8" t="str">
        <f>HLOOKUP(A12,B1:P7,6,FALSE)</f>
        <v>Indore</v>
      </c>
      <c r="F12" s="42">
        <f>HLOOKUP(A12,B1:P7,5,FALSE)</f>
        <v>2016</v>
      </c>
      <c r="G12" s="43"/>
    </row>
  </sheetData>
  <mergeCells count="2">
    <mergeCell ref="F11:G11"/>
    <mergeCell ref="F12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5592-57F6-4978-ADFB-99345FB540DB}">
  <dimension ref="A1:Q29"/>
  <sheetViews>
    <sheetView topLeftCell="A8" workbookViewId="0">
      <selection activeCell="B23" sqref="B23"/>
    </sheetView>
  </sheetViews>
  <sheetFormatPr defaultRowHeight="14.4"/>
  <cols>
    <col min="1" max="1" width="25.33203125" customWidth="1"/>
    <col min="2" max="2" width="22.109375" customWidth="1"/>
    <col min="3" max="3" width="18.21875" customWidth="1"/>
    <col min="4" max="4" width="14.21875" customWidth="1"/>
    <col min="5" max="5" width="14" customWidth="1"/>
    <col min="6" max="6" width="11.109375" customWidth="1"/>
    <col min="7" max="7" width="10.77734375" customWidth="1"/>
    <col min="8" max="8" width="14.21875" customWidth="1"/>
    <col min="9" max="9" width="13.109375" customWidth="1"/>
    <col min="10" max="10" width="11.77734375" customWidth="1"/>
    <col min="11" max="11" width="13.21875" customWidth="1"/>
    <col min="12" max="12" width="12.21875" customWidth="1"/>
    <col min="13" max="13" width="13.44140625" customWidth="1"/>
    <col min="14" max="14" width="12.21875" customWidth="1"/>
    <col min="15" max="15" width="14.44140625" customWidth="1"/>
    <col min="16" max="16" width="12.77734375" customWidth="1"/>
    <col min="17" max="17" width="13.6640625" customWidth="1"/>
  </cols>
  <sheetData>
    <row r="1" spans="1:11" ht="24" thickBot="1">
      <c r="A1" s="9" t="s">
        <v>40</v>
      </c>
      <c r="B1" s="10" t="s">
        <v>41</v>
      </c>
      <c r="C1" s="11" t="s">
        <v>42</v>
      </c>
    </row>
    <row r="2" spans="1:11" ht="18">
      <c r="A2" s="12">
        <v>100000</v>
      </c>
      <c r="B2" s="20">
        <f>VLOOKUP(A2,$H$4:$K$8,3,TRUE)</f>
        <v>0.02</v>
      </c>
      <c r="C2" s="13">
        <f>VLOOKUP(A2,$H$4:$K$8,4,TRUE)</f>
        <v>1</v>
      </c>
      <c r="H2" s="46" t="s">
        <v>40</v>
      </c>
      <c r="I2" s="46"/>
      <c r="J2" s="44" t="s">
        <v>41</v>
      </c>
      <c r="K2" s="44" t="s">
        <v>42</v>
      </c>
    </row>
    <row r="3" spans="1:11" ht="18">
      <c r="A3" s="12">
        <v>120000</v>
      </c>
      <c r="B3" s="20">
        <f t="shared" ref="B3:B17" si="0">VLOOKUP(A3,$H$4:$K$8,3,TRUE)</f>
        <v>0.04</v>
      </c>
      <c r="C3" s="13">
        <f t="shared" ref="C3:C16" si="1">VLOOKUP(A3,$H$4:$K$8,4,TRUE)</f>
        <v>2</v>
      </c>
      <c r="H3" s="15" t="s">
        <v>43</v>
      </c>
      <c r="I3" s="15" t="s">
        <v>44</v>
      </c>
      <c r="J3" s="45"/>
      <c r="K3" s="45"/>
    </row>
    <row r="4" spans="1:11" ht="15.6">
      <c r="A4" s="12">
        <v>50000</v>
      </c>
      <c r="B4" s="20">
        <f t="shared" si="0"/>
        <v>0.02</v>
      </c>
      <c r="C4" s="13">
        <f t="shared" si="1"/>
        <v>1</v>
      </c>
      <c r="H4" s="16">
        <v>10000</v>
      </c>
      <c r="I4" s="16">
        <v>100000</v>
      </c>
      <c r="J4" s="17">
        <v>0.02</v>
      </c>
      <c r="K4" s="18">
        <v>1</v>
      </c>
    </row>
    <row r="5" spans="1:11" ht="15.6">
      <c r="A5" s="12">
        <v>90000</v>
      </c>
      <c r="B5" s="20">
        <f t="shared" si="0"/>
        <v>0.02</v>
      </c>
      <c r="C5" s="13">
        <f t="shared" si="1"/>
        <v>1</v>
      </c>
      <c r="H5" s="16">
        <v>100001</v>
      </c>
      <c r="I5" s="16">
        <v>200000</v>
      </c>
      <c r="J5" s="17">
        <v>0.04</v>
      </c>
      <c r="K5" s="18">
        <v>2</v>
      </c>
    </row>
    <row r="6" spans="1:11" ht="15.6">
      <c r="A6" s="12">
        <v>800000</v>
      </c>
      <c r="B6" s="20">
        <f t="shared" si="0"/>
        <v>0.1</v>
      </c>
      <c r="C6" s="13">
        <f t="shared" si="1"/>
        <v>5</v>
      </c>
      <c r="H6" s="16">
        <v>200001</v>
      </c>
      <c r="I6" s="16">
        <v>300000</v>
      </c>
      <c r="J6" s="17">
        <v>0.06</v>
      </c>
      <c r="K6" s="18">
        <v>3</v>
      </c>
    </row>
    <row r="7" spans="1:11" ht="15.6">
      <c r="A7" s="12">
        <v>200000</v>
      </c>
      <c r="B7" s="20">
        <f t="shared" si="0"/>
        <v>0.04</v>
      </c>
      <c r="C7" s="13">
        <f t="shared" si="1"/>
        <v>2</v>
      </c>
      <c r="H7" s="16">
        <v>300001</v>
      </c>
      <c r="I7" s="16">
        <v>400000</v>
      </c>
      <c r="J7" s="17">
        <v>0.08</v>
      </c>
      <c r="K7" s="18">
        <v>4</v>
      </c>
    </row>
    <row r="8" spans="1:11" ht="15.6">
      <c r="A8" s="12">
        <v>80000</v>
      </c>
      <c r="B8" s="20">
        <f t="shared" si="0"/>
        <v>0.02</v>
      </c>
      <c r="C8" s="13">
        <f t="shared" si="1"/>
        <v>1</v>
      </c>
      <c r="H8" s="16">
        <v>400001</v>
      </c>
      <c r="I8" s="16" t="s">
        <v>45</v>
      </c>
      <c r="J8" s="17">
        <v>0.1</v>
      </c>
      <c r="K8" s="18">
        <v>5</v>
      </c>
    </row>
    <row r="9" spans="1:11" ht="15.6">
      <c r="A9" s="12">
        <v>90000</v>
      </c>
      <c r="B9" s="20">
        <f t="shared" si="0"/>
        <v>0.02</v>
      </c>
      <c r="C9" s="13">
        <f t="shared" si="1"/>
        <v>1</v>
      </c>
    </row>
    <row r="10" spans="1:11" ht="15.6">
      <c r="A10" s="12">
        <v>400000</v>
      </c>
      <c r="B10" s="20">
        <f t="shared" si="0"/>
        <v>0.08</v>
      </c>
      <c r="C10" s="13">
        <f t="shared" si="1"/>
        <v>4</v>
      </c>
    </row>
    <row r="11" spans="1:11" ht="15.6">
      <c r="A11" s="12">
        <v>300000</v>
      </c>
      <c r="B11" s="20">
        <f t="shared" si="0"/>
        <v>0.06</v>
      </c>
      <c r="C11" s="13">
        <f t="shared" si="1"/>
        <v>3</v>
      </c>
    </row>
    <row r="12" spans="1:11" ht="15.6">
      <c r="A12" s="12">
        <v>450000</v>
      </c>
      <c r="B12" s="20">
        <f t="shared" si="0"/>
        <v>0.1</v>
      </c>
      <c r="C12" s="13">
        <f t="shared" si="1"/>
        <v>5</v>
      </c>
    </row>
    <row r="13" spans="1:11" ht="15.6">
      <c r="A13" s="12">
        <v>300000</v>
      </c>
      <c r="B13" s="20">
        <f t="shared" si="0"/>
        <v>0.06</v>
      </c>
      <c r="C13" s="13">
        <f t="shared" si="1"/>
        <v>3</v>
      </c>
    </row>
    <row r="14" spans="1:11" ht="15.6">
      <c r="A14" s="12">
        <v>400000</v>
      </c>
      <c r="B14" s="20">
        <f t="shared" si="0"/>
        <v>0.08</v>
      </c>
      <c r="C14" s="13">
        <f t="shared" si="1"/>
        <v>4</v>
      </c>
    </row>
    <row r="15" spans="1:11" ht="15.6">
      <c r="A15" s="12">
        <v>500000</v>
      </c>
      <c r="B15" s="20">
        <f t="shared" si="0"/>
        <v>0.1</v>
      </c>
      <c r="C15" s="13">
        <f t="shared" si="1"/>
        <v>5</v>
      </c>
    </row>
    <row r="16" spans="1:11" ht="15.6">
      <c r="A16" s="12">
        <v>900000</v>
      </c>
      <c r="B16" s="20">
        <f t="shared" si="0"/>
        <v>0.1</v>
      </c>
      <c r="C16" s="13">
        <f t="shared" si="1"/>
        <v>5</v>
      </c>
    </row>
    <row r="17" spans="1:17" ht="15.6">
      <c r="A17" s="37">
        <v>400000</v>
      </c>
      <c r="B17" s="38">
        <f t="shared" si="0"/>
        <v>0.08</v>
      </c>
      <c r="C17" s="39">
        <f>VLOOKUP(A17,$H$4:$K$8,4,TRUE)</f>
        <v>4</v>
      </c>
    </row>
    <row r="20" spans="1:17" ht="15" thickBot="1"/>
    <row r="21" spans="1:17" ht="21.6" thickBot="1">
      <c r="A21" s="9" t="s">
        <v>40</v>
      </c>
      <c r="B21" s="12">
        <v>100000</v>
      </c>
      <c r="C21" s="12">
        <v>120000</v>
      </c>
      <c r="D21" s="12">
        <v>50000</v>
      </c>
      <c r="E21" s="12">
        <v>90000</v>
      </c>
      <c r="F21" s="12">
        <v>800000</v>
      </c>
      <c r="G21" s="12">
        <v>200000</v>
      </c>
      <c r="H21" s="12">
        <v>80000</v>
      </c>
      <c r="I21" s="12">
        <v>90000</v>
      </c>
      <c r="J21" s="12">
        <v>400000</v>
      </c>
      <c r="K21" s="12">
        <v>300000</v>
      </c>
      <c r="L21" s="12">
        <v>450000</v>
      </c>
      <c r="M21" s="12">
        <v>300000</v>
      </c>
      <c r="N21" s="12">
        <v>400000</v>
      </c>
      <c r="O21" s="12">
        <v>500000</v>
      </c>
      <c r="P21" s="12">
        <v>900000</v>
      </c>
      <c r="Q21" s="14">
        <v>400000</v>
      </c>
    </row>
    <row r="22" spans="1:17" ht="52.05" customHeight="1" thickBot="1">
      <c r="A22" s="10" t="s">
        <v>41</v>
      </c>
      <c r="B22" s="20">
        <f>HLOOKUP(B21,$D$26:$H$29,3,TRUE)</f>
        <v>0.02</v>
      </c>
      <c r="C22" s="20">
        <f t="shared" ref="C22:H22" si="2">HLOOKUP(C21,$D$26:$H$29,3,TRUE)</f>
        <v>0.04</v>
      </c>
      <c r="D22" s="20">
        <f t="shared" si="2"/>
        <v>0.02</v>
      </c>
      <c r="E22" s="20">
        <f t="shared" si="2"/>
        <v>0.02</v>
      </c>
      <c r="F22" s="20">
        <f t="shared" si="2"/>
        <v>0.1</v>
      </c>
      <c r="G22" s="20">
        <f t="shared" si="2"/>
        <v>0.04</v>
      </c>
      <c r="H22" s="20">
        <f t="shared" si="2"/>
        <v>0.02</v>
      </c>
      <c r="I22" s="20">
        <f>HLOOKUP(I21,$D$26:$H$29,3,TRUE)</f>
        <v>0.02</v>
      </c>
      <c r="J22" s="20">
        <f t="shared" ref="J22" si="3">HLOOKUP(J21,$D$26:$H$29,3,TRUE)</f>
        <v>0.08</v>
      </c>
      <c r="K22" s="20">
        <f t="shared" ref="K22" si="4">HLOOKUP(K21,$D$26:$H$29,3,TRUE)</f>
        <v>0.06</v>
      </c>
      <c r="L22" s="20">
        <f t="shared" ref="L22" si="5">HLOOKUP(L21,$D$26:$H$29,3,TRUE)</f>
        <v>0.1</v>
      </c>
      <c r="M22" s="20">
        <f t="shared" ref="M22" si="6">HLOOKUP(M21,$D$26:$H$29,3,TRUE)</f>
        <v>0.06</v>
      </c>
      <c r="N22" s="20">
        <f t="shared" ref="N22" si="7">HLOOKUP(N21,$D$26:$H$29,3,TRUE)</f>
        <v>0.08</v>
      </c>
      <c r="O22" s="20">
        <f t="shared" ref="O22" si="8">HLOOKUP(O21,$D$26:$H$29,3,TRUE)</f>
        <v>0.1</v>
      </c>
      <c r="P22" s="20">
        <f t="shared" ref="P22" si="9">HLOOKUP(P21,$D$26:$H$29,3,TRUE)</f>
        <v>0.1</v>
      </c>
      <c r="Q22" s="20">
        <f t="shared" ref="Q22" si="10">HLOOKUP(Q21,$D$26:$H$29,3,TRUE)</f>
        <v>0.08</v>
      </c>
    </row>
    <row r="23" spans="1:17" ht="24" thickBot="1">
      <c r="A23" s="11" t="s">
        <v>42</v>
      </c>
      <c r="B23" s="19">
        <f>HLOOKUP($B$21,$D$26:$H$29,4,TRUE)</f>
        <v>1</v>
      </c>
      <c r="C23" s="19">
        <f t="shared" ref="C23:Q23" si="11">HLOOKUP(C21,$D$26:$H$29,4,TRUE)</f>
        <v>2</v>
      </c>
      <c r="D23" s="19">
        <f t="shared" si="11"/>
        <v>1</v>
      </c>
      <c r="E23" s="19">
        <f t="shared" si="11"/>
        <v>1</v>
      </c>
      <c r="F23" s="19">
        <f t="shared" si="11"/>
        <v>5</v>
      </c>
      <c r="G23" s="19">
        <f t="shared" si="11"/>
        <v>2</v>
      </c>
      <c r="H23" s="19">
        <f t="shared" si="11"/>
        <v>1</v>
      </c>
      <c r="I23" s="19">
        <f t="shared" si="11"/>
        <v>1</v>
      </c>
      <c r="J23" s="19">
        <f t="shared" si="11"/>
        <v>4</v>
      </c>
      <c r="K23" s="19">
        <f t="shared" si="11"/>
        <v>3</v>
      </c>
      <c r="L23" s="19">
        <f t="shared" si="11"/>
        <v>5</v>
      </c>
      <c r="M23" s="19">
        <f t="shared" si="11"/>
        <v>3</v>
      </c>
      <c r="N23" s="19">
        <f t="shared" si="11"/>
        <v>4</v>
      </c>
      <c r="O23" s="19">
        <f t="shared" si="11"/>
        <v>5</v>
      </c>
      <c r="P23" s="19">
        <f t="shared" si="11"/>
        <v>5</v>
      </c>
      <c r="Q23" s="19">
        <f t="shared" si="11"/>
        <v>4</v>
      </c>
    </row>
    <row r="26" spans="1:17" ht="18">
      <c r="B26" s="46" t="s">
        <v>40</v>
      </c>
      <c r="C26" s="15" t="s">
        <v>43</v>
      </c>
      <c r="D26" s="16">
        <v>10000</v>
      </c>
      <c r="E26" s="16">
        <v>100001</v>
      </c>
      <c r="F26" s="16">
        <v>200001</v>
      </c>
      <c r="G26" s="16">
        <v>300001</v>
      </c>
      <c r="H26" s="16">
        <v>400001</v>
      </c>
    </row>
    <row r="27" spans="1:17" ht="18">
      <c r="B27" s="46"/>
      <c r="C27" s="15" t="s">
        <v>44</v>
      </c>
      <c r="D27" s="16">
        <v>100000</v>
      </c>
      <c r="E27" s="16">
        <v>200000</v>
      </c>
      <c r="F27" s="16">
        <v>300000</v>
      </c>
      <c r="G27" s="16">
        <v>400000</v>
      </c>
      <c r="H27" s="16" t="s">
        <v>45</v>
      </c>
    </row>
    <row r="28" spans="1:17" ht="18">
      <c r="B28" s="44" t="s">
        <v>41</v>
      </c>
      <c r="C28" s="45"/>
      <c r="D28" s="17">
        <v>0.02</v>
      </c>
      <c r="E28" s="17">
        <v>0.04</v>
      </c>
      <c r="F28" s="17">
        <v>0.06</v>
      </c>
      <c r="G28" s="17">
        <v>0.08</v>
      </c>
      <c r="H28" s="17">
        <v>0.1</v>
      </c>
    </row>
    <row r="29" spans="1:17" ht="18">
      <c r="B29" s="44" t="s">
        <v>42</v>
      </c>
      <c r="C29" s="45"/>
      <c r="D29" s="18">
        <v>1</v>
      </c>
      <c r="E29" s="18">
        <v>2</v>
      </c>
      <c r="F29" s="18">
        <v>3</v>
      </c>
      <c r="G29" s="18">
        <v>4</v>
      </c>
      <c r="H29" s="18">
        <v>5</v>
      </c>
    </row>
  </sheetData>
  <mergeCells count="6">
    <mergeCell ref="K2:K3"/>
    <mergeCell ref="B26:B27"/>
    <mergeCell ref="B28:C28"/>
    <mergeCell ref="B29:C29"/>
    <mergeCell ref="H2:I2"/>
    <mergeCell ref="J2:J3"/>
  </mergeCells>
  <conditionalFormatting sqref="A2:B2 A3:A16 B3:B17">
    <cfRule type="expression" dxfId="3" priority="3">
      <formula>OR($D2="Mumbai",$F2&gt;60000)</formula>
    </cfRule>
    <cfRule type="expression" dxfId="2" priority="4">
      <formula>OR($D14="Mumbai",$F14&gt;60000)</formula>
    </cfRule>
  </conditionalFormatting>
  <conditionalFormatting sqref="B21:P21 B22:Q23">
    <cfRule type="expression" dxfId="1" priority="1">
      <formula>OR($D21="Mumbai",$F21&gt;60000)</formula>
    </cfRule>
    <cfRule type="expression" dxfId="0" priority="2">
      <formula>OR($D33="Mumbai",$F33&gt;60000)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CDC6-5C8B-4F5F-8852-F4A23DC0CF69}">
  <dimension ref="A1:L16"/>
  <sheetViews>
    <sheetView tabSelected="1" workbookViewId="0">
      <selection activeCell="F15" sqref="F15"/>
    </sheetView>
  </sheetViews>
  <sheetFormatPr defaultRowHeight="14.4"/>
  <cols>
    <col min="1" max="1" width="17.5546875" bestFit="1" customWidth="1"/>
    <col min="2" max="2" width="10" bestFit="1" customWidth="1"/>
    <col min="3" max="3" width="11" bestFit="1" customWidth="1"/>
    <col min="4" max="4" width="10" bestFit="1" customWidth="1"/>
    <col min="5" max="5" width="11" bestFit="1" customWidth="1"/>
    <col min="8" max="8" width="15.77734375" bestFit="1" customWidth="1"/>
    <col min="9" max="12" width="10" bestFit="1" customWidth="1"/>
  </cols>
  <sheetData>
    <row r="1" spans="1:12">
      <c r="A1" s="51" t="s">
        <v>69</v>
      </c>
      <c r="B1" s="51" t="s">
        <v>52</v>
      </c>
      <c r="C1" s="51" t="s">
        <v>53</v>
      </c>
      <c r="D1" s="51" t="s">
        <v>54</v>
      </c>
      <c r="E1" s="51" t="s">
        <v>55</v>
      </c>
      <c r="H1" s="21" t="s">
        <v>57</v>
      </c>
      <c r="I1" s="21" t="s">
        <v>52</v>
      </c>
      <c r="J1" s="21" t="s">
        <v>53</v>
      </c>
      <c r="K1" s="21" t="s">
        <v>54</v>
      </c>
      <c r="L1" s="21" t="s">
        <v>55</v>
      </c>
    </row>
    <row r="2" spans="1:12">
      <c r="A2" s="51" t="s">
        <v>46</v>
      </c>
      <c r="B2" s="52">
        <v>150000</v>
      </c>
      <c r="C2" s="52">
        <v>200010</v>
      </c>
      <c r="D2" s="52">
        <v>400000</v>
      </c>
      <c r="E2" s="52">
        <v>770000</v>
      </c>
      <c r="H2" s="21" t="s">
        <v>46</v>
      </c>
      <c r="I2" s="22">
        <v>50000</v>
      </c>
      <c r="J2" s="22">
        <v>100005</v>
      </c>
      <c r="K2" s="22">
        <v>200000</v>
      </c>
      <c r="L2" s="22">
        <v>320000</v>
      </c>
    </row>
    <row r="3" spans="1:12">
      <c r="A3" s="51" t="s">
        <v>47</v>
      </c>
      <c r="B3" s="52">
        <v>400000</v>
      </c>
      <c r="C3" s="52">
        <v>670000</v>
      </c>
      <c r="D3" s="52">
        <v>600000</v>
      </c>
      <c r="E3" s="52">
        <v>1100000</v>
      </c>
      <c r="H3" s="21" t="s">
        <v>47</v>
      </c>
      <c r="I3" s="22">
        <v>200000</v>
      </c>
      <c r="J3" s="22">
        <v>320000</v>
      </c>
      <c r="K3" s="22">
        <v>200000</v>
      </c>
      <c r="L3" s="22">
        <v>400000</v>
      </c>
    </row>
    <row r="4" spans="1:12">
      <c r="A4" s="51" t="s">
        <v>48</v>
      </c>
      <c r="B4" s="52">
        <v>250000</v>
      </c>
      <c r="C4" s="52">
        <v>310002</v>
      </c>
      <c r="D4" s="52">
        <v>330000</v>
      </c>
      <c r="E4" s="52">
        <v>350006</v>
      </c>
      <c r="H4" s="21" t="s">
        <v>48</v>
      </c>
      <c r="I4" s="22">
        <v>100000</v>
      </c>
      <c r="J4" s="22">
        <v>120001</v>
      </c>
      <c r="K4" s="22">
        <v>150000</v>
      </c>
      <c r="L4" s="22">
        <v>160003</v>
      </c>
    </row>
    <row r="5" spans="1:12">
      <c r="A5" s="51" t="s">
        <v>49</v>
      </c>
      <c r="B5" s="52">
        <v>40000</v>
      </c>
      <c r="C5" s="52">
        <v>120002</v>
      </c>
      <c r="D5" s="52">
        <v>70012</v>
      </c>
      <c r="E5" s="52">
        <v>130014</v>
      </c>
      <c r="H5" s="21" t="s">
        <v>49</v>
      </c>
      <c r="I5" s="22">
        <v>20000</v>
      </c>
      <c r="J5" s="22">
        <v>50001</v>
      </c>
      <c r="K5" s="22">
        <v>30006</v>
      </c>
      <c r="L5" s="22">
        <v>60007</v>
      </c>
    </row>
    <row r="6" spans="1:12">
      <c r="A6" s="51" t="s">
        <v>50</v>
      </c>
      <c r="B6" s="52">
        <v>170000</v>
      </c>
      <c r="C6" s="52">
        <v>200002</v>
      </c>
      <c r="D6" s="52">
        <v>260004</v>
      </c>
      <c r="E6" s="52">
        <v>180006</v>
      </c>
      <c r="H6" s="21" t="s">
        <v>50</v>
      </c>
      <c r="I6" s="22">
        <v>70000</v>
      </c>
      <c r="J6" s="22">
        <v>100001</v>
      </c>
      <c r="K6" s="22">
        <v>80002</v>
      </c>
      <c r="L6" s="22">
        <v>85003</v>
      </c>
    </row>
    <row r="7" spans="1:12">
      <c r="A7" s="51" t="s">
        <v>51</v>
      </c>
      <c r="B7" s="52">
        <v>40000</v>
      </c>
      <c r="C7" s="52">
        <v>59002</v>
      </c>
      <c r="D7" s="52">
        <v>70004</v>
      </c>
      <c r="E7" s="52">
        <v>76006</v>
      </c>
      <c r="H7" s="21" t="s">
        <v>51</v>
      </c>
      <c r="I7" s="22">
        <v>20000</v>
      </c>
      <c r="J7" s="22">
        <v>24001</v>
      </c>
      <c r="K7" s="22">
        <v>25002</v>
      </c>
      <c r="L7" s="22">
        <v>33003</v>
      </c>
    </row>
    <row r="10" spans="1:12">
      <c r="A10" s="21" t="s">
        <v>56</v>
      </c>
      <c r="B10" s="21" t="s">
        <v>52</v>
      </c>
      <c r="C10" s="21" t="s">
        <v>53</v>
      </c>
      <c r="D10" s="21" t="s">
        <v>54</v>
      </c>
      <c r="E10" s="21" t="s">
        <v>55</v>
      </c>
      <c r="H10" s="21" t="s">
        <v>58</v>
      </c>
      <c r="I10" s="21" t="s">
        <v>52</v>
      </c>
      <c r="J10" s="21" t="s">
        <v>53</v>
      </c>
      <c r="K10" s="21" t="s">
        <v>54</v>
      </c>
      <c r="L10" s="21" t="s">
        <v>55</v>
      </c>
    </row>
    <row r="11" spans="1:12">
      <c r="A11" s="21" t="s">
        <v>46</v>
      </c>
      <c r="B11" s="22">
        <v>200000</v>
      </c>
      <c r="C11" s="22">
        <v>200005</v>
      </c>
      <c r="D11" s="22">
        <v>400000</v>
      </c>
      <c r="E11" s="22">
        <v>450000</v>
      </c>
      <c r="H11" s="21" t="s">
        <v>46</v>
      </c>
      <c r="I11" s="22">
        <v>116666.66666666667</v>
      </c>
      <c r="J11" s="22">
        <v>133338.33333333334</v>
      </c>
      <c r="K11" s="22">
        <v>266666.66666666669</v>
      </c>
      <c r="L11" s="22">
        <v>396666.66666666669</v>
      </c>
    </row>
    <row r="12" spans="1:12">
      <c r="A12" s="21" t="s">
        <v>47</v>
      </c>
      <c r="B12" s="22">
        <v>300000</v>
      </c>
      <c r="C12" s="22">
        <v>350000</v>
      </c>
      <c r="D12" s="22">
        <v>300000</v>
      </c>
      <c r="E12" s="22">
        <v>700000</v>
      </c>
      <c r="H12" s="21" t="s">
        <v>47</v>
      </c>
      <c r="I12" s="22">
        <v>233333.33333333334</v>
      </c>
      <c r="J12" s="22">
        <v>340000</v>
      </c>
      <c r="K12" s="22">
        <v>266666.66666666669</v>
      </c>
      <c r="L12" s="22">
        <v>533333.33333333337</v>
      </c>
    </row>
    <row r="13" spans="1:12">
      <c r="A13" s="21" t="s">
        <v>48</v>
      </c>
      <c r="B13" s="22">
        <v>150000</v>
      </c>
      <c r="C13" s="22">
        <v>160001</v>
      </c>
      <c r="D13" s="22">
        <v>180000</v>
      </c>
      <c r="E13" s="22">
        <v>180003</v>
      </c>
      <c r="H13" s="21" t="s">
        <v>48</v>
      </c>
      <c r="I13" s="22">
        <v>123333.33333333333</v>
      </c>
      <c r="J13" s="22">
        <v>143334.33333333334</v>
      </c>
      <c r="K13" s="22">
        <v>160000</v>
      </c>
      <c r="L13" s="22">
        <v>170003</v>
      </c>
    </row>
    <row r="14" spans="1:12">
      <c r="A14" s="21" t="s">
        <v>49</v>
      </c>
      <c r="B14" s="22">
        <v>40000</v>
      </c>
      <c r="C14" s="22">
        <v>70001</v>
      </c>
      <c r="D14" s="22">
        <v>40006</v>
      </c>
      <c r="E14" s="22">
        <v>70007</v>
      </c>
      <c r="H14" s="21" t="s">
        <v>49</v>
      </c>
      <c r="I14" s="22">
        <v>26666.666666666668</v>
      </c>
      <c r="J14" s="22">
        <v>56667.666666666664</v>
      </c>
      <c r="K14" s="22">
        <v>36672.666666666664</v>
      </c>
      <c r="L14" s="22">
        <v>63340.333333333336</v>
      </c>
    </row>
    <row r="15" spans="1:12">
      <c r="A15" s="21" t="s">
        <v>50</v>
      </c>
      <c r="B15" s="22">
        <v>100000</v>
      </c>
      <c r="C15" s="22">
        <v>100001</v>
      </c>
      <c r="D15" s="22">
        <v>180002</v>
      </c>
      <c r="E15" s="22">
        <v>95003</v>
      </c>
      <c r="H15" s="21" t="s">
        <v>50</v>
      </c>
      <c r="I15" s="22">
        <v>86666.666666666672</v>
      </c>
      <c r="J15" s="22">
        <v>100001</v>
      </c>
      <c r="K15" s="22">
        <v>113335.33333333333</v>
      </c>
      <c r="L15" s="22">
        <v>88336.333333333328</v>
      </c>
    </row>
    <row r="16" spans="1:12">
      <c r="A16" s="21" t="s">
        <v>51</v>
      </c>
      <c r="B16" s="22">
        <v>23000</v>
      </c>
      <c r="C16" s="22">
        <v>35001</v>
      </c>
      <c r="D16" s="22">
        <v>35002</v>
      </c>
      <c r="E16" s="22">
        <v>43003</v>
      </c>
      <c r="H16" s="21" t="s">
        <v>51</v>
      </c>
      <c r="I16" s="22">
        <v>21000</v>
      </c>
      <c r="J16" s="22">
        <v>28001</v>
      </c>
      <c r="K16" s="22">
        <v>31668.666666666668</v>
      </c>
      <c r="L16" s="22">
        <v>36336.333333333336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32C-C990-4C30-A6D5-B7C473D24F9F}">
  <dimension ref="A1:Q127"/>
  <sheetViews>
    <sheetView workbookViewId="0">
      <selection sqref="A1:H43"/>
    </sheetView>
  </sheetViews>
  <sheetFormatPr defaultRowHeight="14.4" outlineLevelRow="2"/>
  <cols>
    <col min="1" max="3" width="1.77734375" customWidth="1"/>
    <col min="4" max="4" width="10.21875" customWidth="1"/>
    <col min="5" max="5" width="10" bestFit="1" customWidth="1"/>
    <col min="6" max="6" width="11" bestFit="1" customWidth="1"/>
    <col min="7" max="7" width="10" bestFit="1" customWidth="1"/>
    <col min="8" max="8" width="11" bestFit="1" customWidth="1"/>
    <col min="12" max="12" width="8.5546875" customWidth="1"/>
    <col min="13" max="13" width="14.21875" customWidth="1"/>
    <col min="14" max="17" width="10" bestFit="1" customWidth="1"/>
  </cols>
  <sheetData>
    <row r="1" spans="1:17">
      <c r="A1" s="47" t="s">
        <v>60</v>
      </c>
      <c r="B1" s="48"/>
      <c r="C1" s="48"/>
      <c r="D1" s="49"/>
      <c r="E1" s="21" t="s">
        <v>52</v>
      </c>
      <c r="F1" s="21" t="s">
        <v>53</v>
      </c>
      <c r="G1" s="21" t="s">
        <v>54</v>
      </c>
      <c r="H1" s="21" t="s">
        <v>55</v>
      </c>
    </row>
    <row r="2" spans="1:17" hidden="1" outlineLevel="2">
      <c r="A2" s="21"/>
      <c r="B2" s="21"/>
      <c r="C2" s="21"/>
      <c r="D2" s="21"/>
      <c r="E2" s="21"/>
      <c r="F2" s="21"/>
      <c r="G2" s="21"/>
      <c r="H2" s="21"/>
      <c r="N2" s="23"/>
      <c r="O2" s="23"/>
      <c r="P2" s="23"/>
      <c r="Q2" s="23"/>
    </row>
    <row r="3" spans="1:17" hidden="1" outlineLevel="2" collapsed="1">
      <c r="A3" s="21"/>
      <c r="B3" s="21"/>
      <c r="C3" s="21"/>
      <c r="D3" s="21"/>
      <c r="E3" s="21"/>
      <c r="F3" s="21"/>
      <c r="G3" s="21"/>
      <c r="H3" s="21"/>
      <c r="N3" s="23"/>
      <c r="O3" s="23"/>
      <c r="P3" s="23"/>
      <c r="Q3" s="23"/>
    </row>
    <row r="4" spans="1:17" hidden="1" outlineLevel="2" collapsed="1">
      <c r="A4" s="21"/>
      <c r="B4" s="21"/>
      <c r="C4" s="21"/>
      <c r="D4" s="21"/>
      <c r="E4" s="21"/>
      <c r="F4" s="21"/>
      <c r="G4" s="21"/>
      <c r="H4" s="21"/>
      <c r="N4" s="23"/>
      <c r="O4" s="23"/>
      <c r="P4" s="23"/>
      <c r="Q4" s="23"/>
    </row>
    <row r="5" spans="1:17" hidden="1" outlineLevel="1" collapsed="1">
      <c r="A5" s="21"/>
      <c r="B5" s="21"/>
      <c r="C5" s="21"/>
      <c r="D5" s="21"/>
      <c r="E5" s="22">
        <f>[1]cansole1!$B$3</f>
        <v>200000</v>
      </c>
      <c r="F5" s="22">
        <f>[1]cansole1!$C$3</f>
        <v>200005</v>
      </c>
      <c r="G5" s="22">
        <f>[1]cansole1!$D$3</f>
        <v>400000</v>
      </c>
      <c r="H5" s="22">
        <f>[1]cansole1!$E$3</f>
        <v>420000</v>
      </c>
      <c r="N5" s="23"/>
      <c r="O5" s="23"/>
      <c r="P5" s="23"/>
      <c r="Q5" s="23"/>
    </row>
    <row r="6" spans="1:17" hidden="1" outlineLevel="2">
      <c r="A6" s="21"/>
      <c r="B6" s="21"/>
      <c r="C6" s="21"/>
      <c r="D6" s="21"/>
      <c r="E6" s="22"/>
      <c r="F6" s="22"/>
      <c r="G6" s="22"/>
      <c r="H6" s="22"/>
      <c r="N6" s="23"/>
      <c r="O6" s="23"/>
      <c r="P6" s="23"/>
      <c r="Q6" s="23"/>
    </row>
    <row r="7" spans="1:17" hidden="1" outlineLevel="2" collapsed="1">
      <c r="A7" s="21"/>
      <c r="B7" s="21"/>
      <c r="C7" s="21"/>
      <c r="D7" s="21"/>
      <c r="E7" s="22"/>
      <c r="F7" s="22"/>
      <c r="G7" s="22"/>
      <c r="H7" s="22"/>
      <c r="N7" s="23"/>
      <c r="O7" s="23"/>
      <c r="P7" s="23"/>
      <c r="Q7" s="23"/>
    </row>
    <row r="8" spans="1:17" hidden="1" outlineLevel="2" collapsed="1">
      <c r="A8" s="21"/>
      <c r="B8" s="21"/>
      <c r="C8" s="21"/>
      <c r="D8" s="21"/>
      <c r="E8" s="22"/>
      <c r="F8" s="22"/>
      <c r="G8" s="22"/>
      <c r="H8" s="22"/>
      <c r="N8" s="23"/>
      <c r="O8" s="23"/>
      <c r="P8" s="23"/>
      <c r="Q8" s="23"/>
    </row>
    <row r="9" spans="1:17" hidden="1" outlineLevel="1" collapsed="1">
      <c r="A9" s="21"/>
      <c r="B9" s="21"/>
      <c r="C9" s="21"/>
      <c r="D9" s="21"/>
      <c r="E9" s="22">
        <f>[1]cansole2!$B$3</f>
        <v>100000</v>
      </c>
      <c r="F9" s="22">
        <f>[1]cansole2!$C$3</f>
        <v>100005</v>
      </c>
      <c r="G9" s="22">
        <f>[1]cansole2!$D$3</f>
        <v>200000</v>
      </c>
      <c r="H9" s="22">
        <f>[1]cansole2!$E$3</f>
        <v>320000</v>
      </c>
      <c r="N9" s="23"/>
      <c r="O9" s="23"/>
      <c r="P9" s="23"/>
      <c r="Q9" s="23"/>
    </row>
    <row r="10" spans="1:17" hidden="1" outlineLevel="2">
      <c r="A10" s="21"/>
      <c r="B10" s="21"/>
      <c r="C10" s="21"/>
      <c r="D10" s="21"/>
      <c r="E10" s="22"/>
      <c r="F10" s="22"/>
      <c r="G10" s="22"/>
      <c r="H10" s="22"/>
      <c r="N10" s="23"/>
      <c r="O10" s="23"/>
      <c r="P10" s="23"/>
      <c r="Q10" s="23"/>
    </row>
    <row r="11" spans="1:17" hidden="1" outlineLevel="2" collapsed="1">
      <c r="A11" s="21"/>
      <c r="B11" s="21"/>
      <c r="C11" s="21"/>
      <c r="D11" s="21"/>
      <c r="E11" s="22"/>
      <c r="F11" s="22"/>
      <c r="G11" s="22"/>
      <c r="H11" s="22"/>
      <c r="N11" s="23"/>
      <c r="O11" s="23"/>
      <c r="P11" s="23"/>
      <c r="Q11" s="23"/>
    </row>
    <row r="12" spans="1:17" hidden="1" outlineLevel="2" collapsed="1">
      <c r="A12" s="21"/>
      <c r="B12" s="21"/>
      <c r="C12" s="21"/>
      <c r="D12" s="21"/>
      <c r="E12" s="22"/>
      <c r="F12" s="22"/>
      <c r="G12" s="22"/>
      <c r="H12" s="22"/>
      <c r="N12" s="23"/>
      <c r="O12" s="23"/>
      <c r="P12" s="23"/>
      <c r="Q12" s="23"/>
    </row>
    <row r="13" spans="1:17" hidden="1" outlineLevel="1" collapsed="1">
      <c r="A13" s="21"/>
      <c r="B13" s="21"/>
      <c r="C13" s="21"/>
      <c r="D13" s="21"/>
      <c r="E13" s="22">
        <f>[1]cansole3!$B$3</f>
        <v>50000</v>
      </c>
      <c r="F13" s="22">
        <f>[1]cansole3!$C$3</f>
        <v>100005</v>
      </c>
      <c r="G13" s="22">
        <f>[1]cansole3!$D$3</f>
        <v>200000</v>
      </c>
      <c r="H13" s="22">
        <f>[1]cansole3!$E$3</f>
        <v>450000</v>
      </c>
      <c r="N13" s="23"/>
      <c r="O13" s="23"/>
      <c r="P13" s="23"/>
      <c r="Q13" s="23"/>
    </row>
    <row r="14" spans="1:17" hidden="1" outlineLevel="2">
      <c r="A14" s="21"/>
      <c r="B14" s="21"/>
      <c r="C14" s="21"/>
      <c r="D14" s="21"/>
      <c r="E14" s="22"/>
      <c r="F14" s="22"/>
      <c r="G14" s="22"/>
      <c r="H14" s="22"/>
      <c r="N14" s="23"/>
      <c r="O14" s="23"/>
      <c r="P14" s="23"/>
      <c r="Q14" s="23"/>
    </row>
    <row r="15" spans="1:17" hidden="1" outlineLevel="2">
      <c r="A15" s="21"/>
      <c r="B15" s="21"/>
      <c r="C15" s="21"/>
      <c r="D15" s="21"/>
      <c r="E15" s="22"/>
      <c r="F15" s="22"/>
      <c r="G15" s="22"/>
      <c r="H15" s="22"/>
      <c r="N15" s="23"/>
      <c r="O15" s="23"/>
      <c r="P15" s="23"/>
      <c r="Q15" s="23"/>
    </row>
    <row r="16" spans="1:17" ht="0.45" hidden="1" customHeight="1" outlineLevel="2">
      <c r="A16" s="21"/>
      <c r="B16" s="21"/>
      <c r="C16" s="21"/>
      <c r="D16" s="21"/>
      <c r="E16" s="22"/>
      <c r="F16" s="22"/>
      <c r="G16" s="22"/>
      <c r="H16" s="22"/>
      <c r="N16" s="23"/>
      <c r="O16" s="23"/>
      <c r="P16" s="23"/>
      <c r="Q16" s="23"/>
    </row>
    <row r="17" spans="1:17" collapsed="1">
      <c r="A17" s="21" t="s">
        <v>46</v>
      </c>
      <c r="B17" s="21"/>
      <c r="C17" s="21"/>
      <c r="D17" s="21"/>
      <c r="E17" s="22">
        <f>SUM(E5:E13)</f>
        <v>350000</v>
      </c>
      <c r="F17" s="22">
        <f>SUM(F5:F13)</f>
        <v>400015</v>
      </c>
      <c r="G17" s="22">
        <f>SUM(G5:G13)</f>
        <v>800000</v>
      </c>
      <c r="H17" s="22">
        <f>SUM(H5:H13)</f>
        <v>1190000</v>
      </c>
      <c r="N17" s="23"/>
      <c r="O17" s="23"/>
      <c r="P17" s="23"/>
      <c r="Q17" s="23"/>
    </row>
    <row r="18" spans="1:17" hidden="1" outlineLevel="2">
      <c r="A18" s="21"/>
      <c r="B18" s="21"/>
      <c r="C18" s="21"/>
      <c r="D18" s="21"/>
      <c r="E18" s="22"/>
      <c r="F18" s="22"/>
      <c r="G18" s="22"/>
      <c r="H18" s="22"/>
      <c r="M18" t="s">
        <v>59</v>
      </c>
      <c r="N18" s="23">
        <f>[1]cansole1!$B$7</f>
        <v>90000</v>
      </c>
      <c r="O18" s="23">
        <f>[1]cansole1!$C$7</f>
        <v>100001</v>
      </c>
      <c r="P18" s="23">
        <f>[1]cansole1!$D$7</f>
        <v>80002</v>
      </c>
      <c r="Q18" s="23">
        <f>[1]cansole1!$E$7</f>
        <v>85003</v>
      </c>
    </row>
    <row r="19" spans="1:17" hidden="1" outlineLevel="2" collapsed="1">
      <c r="A19" s="21"/>
      <c r="B19" s="21"/>
      <c r="C19" s="21"/>
      <c r="D19" s="21"/>
      <c r="E19" s="22"/>
      <c r="F19" s="22"/>
      <c r="G19" s="22"/>
      <c r="H19" s="22"/>
      <c r="M19" t="s">
        <v>59</v>
      </c>
      <c r="N19" s="23">
        <f>[1]cansole2!$B$7</f>
        <v>100000</v>
      </c>
      <c r="O19" s="23">
        <f>[1]cansole2!$C$7</f>
        <v>100001</v>
      </c>
      <c r="P19" s="23">
        <f>[1]cansole2!$D$7</f>
        <v>80002</v>
      </c>
      <c r="Q19" s="23">
        <f>[1]cansole2!$E$7</f>
        <v>95003</v>
      </c>
    </row>
    <row r="20" spans="1:17" hidden="1" outlineLevel="2" collapsed="1">
      <c r="A20" s="21"/>
      <c r="B20" s="21"/>
      <c r="C20" s="21"/>
      <c r="D20" s="21"/>
      <c r="E20" s="22"/>
      <c r="F20" s="22"/>
      <c r="G20" s="22"/>
      <c r="H20" s="22"/>
      <c r="M20" t="s">
        <v>59</v>
      </c>
      <c r="N20" s="23">
        <f>[1]cansole3!$B$7</f>
        <v>70000</v>
      </c>
      <c r="O20" s="23">
        <f>[1]cansole3!$C$7</f>
        <v>100001</v>
      </c>
      <c r="P20" s="23">
        <f>[1]cansole3!$D$7</f>
        <v>180002</v>
      </c>
      <c r="Q20" s="23">
        <f>[1]cansole3!$E$7</f>
        <v>85003</v>
      </c>
    </row>
    <row r="21" spans="1:17" hidden="1" outlineLevel="1">
      <c r="A21" s="21"/>
      <c r="B21" s="21"/>
      <c r="C21" s="21"/>
      <c r="D21" s="21"/>
      <c r="E21" s="22">
        <f>[1]cansole1!$B$4</f>
        <v>300000</v>
      </c>
      <c r="F21" s="22">
        <f>[1]cansole1!$C$4</f>
        <v>350000</v>
      </c>
      <c r="G21" s="22">
        <f>[1]cansole1!$D$4</f>
        <v>200000</v>
      </c>
      <c r="H21" s="22">
        <f>[1]cansole1!$E$4</f>
        <v>500000</v>
      </c>
      <c r="L21" t="s">
        <v>50</v>
      </c>
      <c r="N21" s="23">
        <f>MIN(N18:N20)</f>
        <v>70000</v>
      </c>
      <c r="O21" s="23">
        <f>MIN(O18:O20)</f>
        <v>100001</v>
      </c>
      <c r="P21" s="23">
        <f>MIN(P18:P20)</f>
        <v>80002</v>
      </c>
      <c r="Q21" s="23">
        <f>MIN(Q18:Q20)</f>
        <v>85003</v>
      </c>
    </row>
    <row r="22" spans="1:17" hidden="1" outlineLevel="2">
      <c r="A22" s="21"/>
      <c r="B22" s="21"/>
      <c r="C22" s="21"/>
      <c r="D22" s="21"/>
      <c r="E22" s="22"/>
      <c r="F22" s="22"/>
      <c r="G22" s="22"/>
      <c r="H22" s="22"/>
      <c r="M22" t="s">
        <v>59</v>
      </c>
      <c r="N22" s="23">
        <f>[1]cansole1!$B$8</f>
        <v>23000</v>
      </c>
      <c r="O22" s="23">
        <f>[1]cansole1!$C$8</f>
        <v>25001</v>
      </c>
      <c r="P22" s="23">
        <f>[1]cansole1!$D$8</f>
        <v>25002</v>
      </c>
      <c r="Q22" s="23">
        <f>[1]cansole1!$E$8</f>
        <v>33003</v>
      </c>
    </row>
    <row r="23" spans="1:17" hidden="1" outlineLevel="2">
      <c r="A23" s="21"/>
      <c r="B23" s="21"/>
      <c r="C23" s="21"/>
      <c r="D23" s="21"/>
      <c r="E23" s="22"/>
      <c r="F23" s="22"/>
      <c r="G23" s="22"/>
      <c r="H23" s="22"/>
      <c r="M23" t="s">
        <v>59</v>
      </c>
      <c r="N23" s="23">
        <f>[1]cansole2!$B$8</f>
        <v>20000</v>
      </c>
      <c r="O23" s="23">
        <f>[1]cansole2!$C$8</f>
        <v>35001</v>
      </c>
      <c r="P23" s="23">
        <f>[1]cansole2!$D$8</f>
        <v>35002</v>
      </c>
      <c r="Q23" s="23">
        <f>[1]cansole2!$E$8</f>
        <v>43003</v>
      </c>
    </row>
    <row r="24" spans="1:17" hidden="1" outlineLevel="2">
      <c r="A24" s="21"/>
      <c r="B24" s="21"/>
      <c r="C24" s="21"/>
      <c r="D24" s="21"/>
      <c r="E24" s="22"/>
      <c r="F24" s="22"/>
      <c r="G24" s="22"/>
      <c r="H24" s="22"/>
      <c r="M24" t="s">
        <v>59</v>
      </c>
      <c r="N24" s="23">
        <f>[1]cansole3!$B$8</f>
        <v>20000</v>
      </c>
      <c r="O24" s="23">
        <f>[1]cansole3!$C$8</f>
        <v>24001</v>
      </c>
      <c r="P24" s="23">
        <f>[1]cansole3!$D$8</f>
        <v>35002</v>
      </c>
      <c r="Q24" s="23">
        <f>[1]cansole3!$E$8</f>
        <v>33003</v>
      </c>
    </row>
    <row r="25" spans="1:17" hidden="1" outlineLevel="1">
      <c r="A25" s="21"/>
      <c r="B25" s="21"/>
      <c r="C25" s="21"/>
      <c r="D25" s="21"/>
      <c r="E25" s="22">
        <f>[1]cansole2!$B$4</f>
        <v>200000</v>
      </c>
      <c r="F25" s="22">
        <f>[1]cansole2!$C$4</f>
        <v>320000</v>
      </c>
      <c r="G25" s="22">
        <f>[1]cansole2!$D$4</f>
        <v>300000</v>
      </c>
      <c r="H25" s="22">
        <f>[1]cansole2!$E$4</f>
        <v>700000</v>
      </c>
      <c r="L25" t="s">
        <v>51</v>
      </c>
      <c r="N25" s="23">
        <f>MIN(N22:N24)</f>
        <v>20000</v>
      </c>
      <c r="O25" s="23">
        <f>MIN(O22:O24)</f>
        <v>24001</v>
      </c>
      <c r="P25" s="23">
        <f>MIN(P22:P24)</f>
        <v>25002</v>
      </c>
      <c r="Q25" s="23">
        <f>MIN(Q22:Q24)</f>
        <v>33003</v>
      </c>
    </row>
    <row r="26" spans="1:17" hidden="1" outlineLevel="1" collapsed="1">
      <c r="A26" s="21"/>
      <c r="B26" s="21"/>
      <c r="C26" s="21"/>
      <c r="D26" s="21"/>
      <c r="E26" s="22">
        <f>[1]cansole3!$B$4</f>
        <v>200000</v>
      </c>
      <c r="F26" s="22">
        <f>[1]cansole3!$C$4</f>
        <v>350000</v>
      </c>
      <c r="G26" s="22">
        <f>[1]cansole3!$D$4</f>
        <v>300000</v>
      </c>
      <c r="H26" s="22">
        <f>[1]cansole3!$E$4</f>
        <v>400000</v>
      </c>
    </row>
    <row r="27" spans="1:17" collapsed="1">
      <c r="A27" s="21" t="s">
        <v>47</v>
      </c>
      <c r="B27" s="21"/>
      <c r="C27" s="21"/>
      <c r="D27" s="21"/>
      <c r="E27" s="22">
        <f>SUM(E21:E26)</f>
        <v>700000</v>
      </c>
      <c r="F27" s="22">
        <f>SUM(F21:F26)</f>
        <v>1020000</v>
      </c>
      <c r="G27" s="22">
        <f>SUM(G21:G26)</f>
        <v>800000</v>
      </c>
      <c r="H27" s="22">
        <f>SUM(H21:H26)</f>
        <v>1600000</v>
      </c>
    </row>
    <row r="28" spans="1:17" hidden="1" outlineLevel="1">
      <c r="A28" s="21"/>
      <c r="B28" s="21"/>
      <c r="C28" s="21"/>
      <c r="D28" s="21"/>
      <c r="E28" s="22">
        <f>[1]cansole1!$B$5</f>
        <v>120000</v>
      </c>
      <c r="F28" s="22">
        <f>[1]cansole1!$C$5</f>
        <v>120001</v>
      </c>
      <c r="G28" s="22">
        <f>[1]cansole1!$D$5</f>
        <v>150000</v>
      </c>
      <c r="H28" s="22">
        <f>[1]cansole1!$E$5</f>
        <v>160003</v>
      </c>
    </row>
    <row r="29" spans="1:17" hidden="1" outlineLevel="1" collapsed="1">
      <c r="A29" s="21"/>
      <c r="B29" s="21"/>
      <c r="C29" s="21"/>
      <c r="D29" s="21"/>
      <c r="E29" s="22">
        <f>[1]cansole2!$B$5</f>
        <v>100000</v>
      </c>
      <c r="F29" s="22">
        <f>[1]cansole2!$C$5</f>
        <v>150001</v>
      </c>
      <c r="G29" s="22">
        <f>[1]cansole2!$D$5</f>
        <v>150000</v>
      </c>
      <c r="H29" s="22">
        <f>[1]cansole2!$E$5</f>
        <v>180003</v>
      </c>
    </row>
    <row r="30" spans="1:17" hidden="1" outlineLevel="1" collapsed="1">
      <c r="A30" s="21"/>
      <c r="B30" s="21"/>
      <c r="C30" s="21"/>
      <c r="D30" s="21"/>
      <c r="E30" s="22">
        <f>[1]cansole3!$B$5</f>
        <v>150000</v>
      </c>
      <c r="F30" s="22">
        <f>[1]cansole3!$C$5</f>
        <v>160001</v>
      </c>
      <c r="G30" s="22">
        <f>[1]cansole3!$D$5</f>
        <v>180000</v>
      </c>
      <c r="H30" s="22">
        <f>[1]cansole3!$E$5</f>
        <v>170003</v>
      </c>
    </row>
    <row r="31" spans="1:17" collapsed="1">
      <c r="A31" s="21" t="s">
        <v>48</v>
      </c>
      <c r="B31" s="21"/>
      <c r="C31" s="21"/>
      <c r="D31" s="21"/>
      <c r="E31" s="22">
        <f>SUM(E28:E30)</f>
        <v>370000</v>
      </c>
      <c r="F31" s="22">
        <f>SUM(F28:F30)</f>
        <v>430003</v>
      </c>
      <c r="G31" s="22">
        <f>SUM(G28:G30)</f>
        <v>480000</v>
      </c>
      <c r="H31" s="22">
        <f>SUM(H28:H30)</f>
        <v>510009</v>
      </c>
    </row>
    <row r="32" spans="1:17" hidden="1" outlineLevel="1">
      <c r="A32" s="21"/>
      <c r="B32" s="21"/>
      <c r="C32" s="21"/>
      <c r="D32" s="21"/>
      <c r="E32" s="22">
        <f>[1]cansole1!$B$6</f>
        <v>40000</v>
      </c>
      <c r="F32" s="22">
        <f>[1]cansole1!$C$6</f>
        <v>50001</v>
      </c>
      <c r="G32" s="22">
        <f>[1]cansole1!$D$6</f>
        <v>40006</v>
      </c>
      <c r="H32" s="22">
        <f>[1]cansole1!$E$6</f>
        <v>60007</v>
      </c>
    </row>
    <row r="33" spans="1:8" hidden="1" outlineLevel="1" collapsed="1">
      <c r="A33" s="21"/>
      <c r="B33" s="21"/>
      <c r="C33" s="21"/>
      <c r="D33" s="21"/>
      <c r="E33" s="22">
        <f>[1]cansole2!$B$6</f>
        <v>20000</v>
      </c>
      <c r="F33" s="22">
        <f>[1]cansole2!$C$6</f>
        <v>50001</v>
      </c>
      <c r="G33" s="22">
        <f>[1]cansole2!$D$6</f>
        <v>30006</v>
      </c>
      <c r="H33" s="22">
        <f>[1]cansole2!$E$6</f>
        <v>70007</v>
      </c>
    </row>
    <row r="34" spans="1:8" hidden="1" outlineLevel="1" collapsed="1">
      <c r="A34" s="21"/>
      <c r="B34" s="21"/>
      <c r="C34" s="21"/>
      <c r="D34" s="21"/>
      <c r="E34" s="22">
        <f>[1]cansole3!$B$6</f>
        <v>20000</v>
      </c>
      <c r="F34" s="22">
        <f>[1]cansole3!$C$6</f>
        <v>70001</v>
      </c>
      <c r="G34" s="22">
        <f>[1]cansole3!$D$6</f>
        <v>40006</v>
      </c>
      <c r="H34" s="22">
        <f>[1]cansole3!$E$6</f>
        <v>60007</v>
      </c>
    </row>
    <row r="35" spans="1:8" collapsed="1">
      <c r="A35" s="21" t="s">
        <v>49</v>
      </c>
      <c r="B35" s="21"/>
      <c r="C35" s="21"/>
      <c r="D35" s="21"/>
      <c r="E35" s="22">
        <f>SUM(E32:E34)</f>
        <v>80000</v>
      </c>
      <c r="F35" s="22">
        <f>SUM(F32:F34)</f>
        <v>170003</v>
      </c>
      <c r="G35" s="22">
        <f>SUM(G32:G34)</f>
        <v>110018</v>
      </c>
      <c r="H35" s="22">
        <f>SUM(H32:H34)</f>
        <v>190021</v>
      </c>
    </row>
    <row r="36" spans="1:8" hidden="1" outlineLevel="1">
      <c r="A36" s="21"/>
      <c r="B36" s="21"/>
      <c r="C36" s="21"/>
      <c r="D36" s="21"/>
      <c r="E36" s="22">
        <f>[1]cansole1!$B$7</f>
        <v>90000</v>
      </c>
      <c r="F36" s="22">
        <f>[1]cansole1!$C$7</f>
        <v>100001</v>
      </c>
      <c r="G36" s="22">
        <f>[1]cansole1!$D$7</f>
        <v>80002</v>
      </c>
      <c r="H36" s="22">
        <f>[1]cansole1!$E$7</f>
        <v>85003</v>
      </c>
    </row>
    <row r="37" spans="1:8" hidden="1" outlineLevel="1" collapsed="1">
      <c r="A37" s="21"/>
      <c r="B37" s="21"/>
      <c r="C37" s="21"/>
      <c r="D37" s="21"/>
      <c r="E37" s="22">
        <f>[1]cansole2!$B$7</f>
        <v>100000</v>
      </c>
      <c r="F37" s="22">
        <f>[1]cansole2!$C$7</f>
        <v>100001</v>
      </c>
      <c r="G37" s="22">
        <f>[1]cansole2!$D$7</f>
        <v>80002</v>
      </c>
      <c r="H37" s="22">
        <f>[1]cansole2!$E$7</f>
        <v>95003</v>
      </c>
    </row>
    <row r="38" spans="1:8" hidden="1" outlineLevel="1" collapsed="1">
      <c r="A38" s="21"/>
      <c r="B38" s="21"/>
      <c r="C38" s="21"/>
      <c r="D38" s="21"/>
      <c r="E38" s="22">
        <f>[1]cansole3!$B$7</f>
        <v>70000</v>
      </c>
      <c r="F38" s="22">
        <f>[1]cansole3!$C$7</f>
        <v>100001</v>
      </c>
      <c r="G38" s="22">
        <f>[1]cansole3!$D$7</f>
        <v>180002</v>
      </c>
      <c r="H38" s="22">
        <f>[1]cansole3!$E$7</f>
        <v>85003</v>
      </c>
    </row>
    <row r="39" spans="1:8" collapsed="1">
      <c r="A39" s="21" t="s">
        <v>50</v>
      </c>
      <c r="B39" s="21"/>
      <c r="C39" s="21"/>
      <c r="D39" s="21"/>
      <c r="E39" s="22">
        <f>SUM(E36:E38)</f>
        <v>260000</v>
      </c>
      <c r="F39" s="22">
        <f>SUM(F36:F38)</f>
        <v>300003</v>
      </c>
      <c r="G39" s="22">
        <f>SUM(G36:G38)</f>
        <v>340006</v>
      </c>
      <c r="H39" s="22">
        <f>SUM(H36:H38)</f>
        <v>265009</v>
      </c>
    </row>
    <row r="40" spans="1:8" hidden="1" outlineLevel="1">
      <c r="A40" s="21"/>
      <c r="B40" s="21"/>
      <c r="C40" s="21"/>
      <c r="D40" s="21"/>
      <c r="E40" s="22">
        <f>[1]cansole1!$B$8</f>
        <v>23000</v>
      </c>
      <c r="F40" s="22">
        <f>[1]cansole1!$C$8</f>
        <v>25001</v>
      </c>
      <c r="G40" s="22">
        <f>[1]cansole1!$D$8</f>
        <v>25002</v>
      </c>
      <c r="H40" s="22">
        <f>[1]cansole1!$E$8</f>
        <v>33003</v>
      </c>
    </row>
    <row r="41" spans="1:8" hidden="1" outlineLevel="1" collapsed="1">
      <c r="A41" s="21"/>
      <c r="B41" s="21"/>
      <c r="C41" s="21"/>
      <c r="D41" s="21"/>
      <c r="E41" s="22">
        <f>[1]cansole2!$B$8</f>
        <v>20000</v>
      </c>
      <c r="F41" s="22">
        <f>[1]cansole2!$C$8</f>
        <v>35001</v>
      </c>
      <c r="G41" s="22">
        <f>[1]cansole2!$D$8</f>
        <v>35002</v>
      </c>
      <c r="H41" s="22">
        <f>[1]cansole2!$E$8</f>
        <v>43003</v>
      </c>
    </row>
    <row r="42" spans="1:8" hidden="1" outlineLevel="1" collapsed="1">
      <c r="A42" s="21"/>
      <c r="B42" s="21"/>
      <c r="C42" s="21"/>
      <c r="D42" s="21"/>
      <c r="E42" s="22">
        <f>[1]cansole3!$B$8</f>
        <v>20000</v>
      </c>
      <c r="F42" s="22">
        <f>[1]cansole3!$C$8</f>
        <v>24001</v>
      </c>
      <c r="G42" s="22">
        <f>[1]cansole3!$D$8</f>
        <v>35002</v>
      </c>
      <c r="H42" s="22">
        <f>[1]cansole3!$E$8</f>
        <v>33003</v>
      </c>
    </row>
    <row r="43" spans="1:8" collapsed="1">
      <c r="A43" s="21" t="s">
        <v>51</v>
      </c>
      <c r="B43" s="21"/>
      <c r="C43" s="21"/>
      <c r="D43" s="21"/>
      <c r="E43" s="22">
        <f>SUM(E40:E42)</f>
        <v>63000</v>
      </c>
      <c r="F43" s="22">
        <f>SUM(F40:F42)</f>
        <v>84003</v>
      </c>
      <c r="G43" s="22">
        <f>SUM(G40:G42)</f>
        <v>95006</v>
      </c>
      <c r="H43" s="22">
        <f>SUM(H40:H42)</f>
        <v>109009</v>
      </c>
    </row>
    <row r="47" spans="1:8">
      <c r="A47" s="47" t="s">
        <v>61</v>
      </c>
      <c r="B47" s="48"/>
      <c r="C47" s="48"/>
      <c r="D47" s="49"/>
      <c r="E47" s="21" t="s">
        <v>52</v>
      </c>
      <c r="F47" s="21" t="s">
        <v>53</v>
      </c>
      <c r="G47" s="21" t="s">
        <v>54</v>
      </c>
      <c r="H47" s="21" t="s">
        <v>55</v>
      </c>
    </row>
    <row r="48" spans="1:8" hidden="1" outlineLevel="1">
      <c r="A48" s="21"/>
      <c r="B48" s="21" t="s">
        <v>59</v>
      </c>
      <c r="C48" s="21"/>
      <c r="D48" s="21"/>
      <c r="E48" s="22">
        <f>[1]cansole1!$B$3</f>
        <v>200000</v>
      </c>
      <c r="F48" s="22">
        <f>[1]cansole1!$C$3</f>
        <v>200005</v>
      </c>
      <c r="G48" s="22">
        <f>[1]cansole1!$D$3</f>
        <v>400000</v>
      </c>
      <c r="H48" s="22">
        <f>[1]cansole1!$E$3</f>
        <v>420000</v>
      </c>
    </row>
    <row r="49" spans="1:8" hidden="1" outlineLevel="1" collapsed="1">
      <c r="A49" s="21"/>
      <c r="B49" s="21" t="s">
        <v>59</v>
      </c>
      <c r="C49" s="21"/>
      <c r="D49" s="21"/>
      <c r="E49" s="22">
        <f>[1]cansole2!$B$3</f>
        <v>100000</v>
      </c>
      <c r="F49" s="22">
        <f>[1]cansole2!$C$3</f>
        <v>100005</v>
      </c>
      <c r="G49" s="22">
        <f>[1]cansole2!$D$3</f>
        <v>200000</v>
      </c>
      <c r="H49" s="22">
        <f>[1]cansole2!$E$3</f>
        <v>320000</v>
      </c>
    </row>
    <row r="50" spans="1:8" hidden="1" outlineLevel="1" collapsed="1">
      <c r="A50" s="21"/>
      <c r="B50" s="21" t="s">
        <v>59</v>
      </c>
      <c r="C50" s="21"/>
      <c r="D50" s="21"/>
      <c r="E50" s="22">
        <f>[1]cansole3!$B$3</f>
        <v>50000</v>
      </c>
      <c r="F50" s="22">
        <f>[1]cansole3!$C$3</f>
        <v>100005</v>
      </c>
      <c r="G50" s="22">
        <f>[1]cansole3!$D$3</f>
        <v>200000</v>
      </c>
      <c r="H50" s="22">
        <f>[1]cansole3!$E$3</f>
        <v>450000</v>
      </c>
    </row>
    <row r="51" spans="1:8" collapsed="1">
      <c r="A51" s="21" t="s">
        <v>46</v>
      </c>
      <c r="B51" s="21"/>
      <c r="C51" s="21"/>
      <c r="D51" s="21"/>
      <c r="E51" s="22">
        <f>MAX(E48:E50)</f>
        <v>200000</v>
      </c>
      <c r="F51" s="22">
        <f>MAX(F48:F50)</f>
        <v>200005</v>
      </c>
      <c r="G51" s="22">
        <f>MAX(G48:G50)</f>
        <v>400000</v>
      </c>
      <c r="H51" s="22">
        <f>MAX(H48:H50)</f>
        <v>450000</v>
      </c>
    </row>
    <row r="52" spans="1:8" hidden="1" outlineLevel="1">
      <c r="A52" s="21"/>
      <c r="B52" s="21" t="s">
        <v>59</v>
      </c>
      <c r="C52" s="21"/>
      <c r="D52" s="21"/>
      <c r="E52" s="22">
        <f>[1]cansole1!$B$4</f>
        <v>300000</v>
      </c>
      <c r="F52" s="22">
        <f>[1]cansole1!$C$4</f>
        <v>350000</v>
      </c>
      <c r="G52" s="22">
        <f>[1]cansole1!$D$4</f>
        <v>200000</v>
      </c>
      <c r="H52" s="22">
        <f>[1]cansole1!$E$4</f>
        <v>500000</v>
      </c>
    </row>
    <row r="53" spans="1:8" hidden="1" outlineLevel="1" collapsed="1">
      <c r="A53" s="21"/>
      <c r="B53" s="21" t="s">
        <v>59</v>
      </c>
      <c r="C53" s="21"/>
      <c r="D53" s="21"/>
      <c r="E53" s="22">
        <f>[1]cansole2!$B$4</f>
        <v>200000</v>
      </c>
      <c r="F53" s="22">
        <f>[1]cansole2!$C$4</f>
        <v>320000</v>
      </c>
      <c r="G53" s="22">
        <f>[1]cansole2!$D$4</f>
        <v>300000</v>
      </c>
      <c r="H53" s="22">
        <f>[1]cansole2!$E$4</f>
        <v>700000</v>
      </c>
    </row>
    <row r="54" spans="1:8" hidden="1" outlineLevel="1" collapsed="1">
      <c r="A54" s="21"/>
      <c r="B54" s="21" t="s">
        <v>59</v>
      </c>
      <c r="C54" s="21"/>
      <c r="D54" s="21"/>
      <c r="E54" s="22">
        <f>[1]cansole3!$B$4</f>
        <v>200000</v>
      </c>
      <c r="F54" s="22">
        <f>[1]cansole3!$C$4</f>
        <v>350000</v>
      </c>
      <c r="G54" s="22">
        <f>[1]cansole3!$D$4</f>
        <v>300000</v>
      </c>
      <c r="H54" s="22">
        <f>[1]cansole3!$E$4</f>
        <v>400000</v>
      </c>
    </row>
    <row r="55" spans="1:8" collapsed="1">
      <c r="A55" s="21" t="s">
        <v>47</v>
      </c>
      <c r="B55" s="21"/>
      <c r="C55" s="21"/>
      <c r="D55" s="21"/>
      <c r="E55" s="22">
        <f>MAX(E52:E54)</f>
        <v>300000</v>
      </c>
      <c r="F55" s="22">
        <f>MAX(F52:F54)</f>
        <v>350000</v>
      </c>
      <c r="G55" s="22">
        <f>MAX(G52:G54)</f>
        <v>300000</v>
      </c>
      <c r="H55" s="22">
        <f>MAX(H52:H54)</f>
        <v>700000</v>
      </c>
    </row>
    <row r="56" spans="1:8" hidden="1" outlineLevel="1">
      <c r="A56" s="21"/>
      <c r="B56" s="21" t="s">
        <v>59</v>
      </c>
      <c r="C56" s="21"/>
      <c r="D56" s="21"/>
      <c r="E56" s="22">
        <f>[1]cansole1!$B$5</f>
        <v>120000</v>
      </c>
      <c r="F56" s="22">
        <f>[1]cansole1!$C$5</f>
        <v>120001</v>
      </c>
      <c r="G56" s="22">
        <f>[1]cansole1!$D$5</f>
        <v>150000</v>
      </c>
      <c r="H56" s="22">
        <f>[1]cansole1!$E$5</f>
        <v>160003</v>
      </c>
    </row>
    <row r="57" spans="1:8" hidden="1" outlineLevel="1" collapsed="1">
      <c r="A57" s="21"/>
      <c r="B57" s="21" t="s">
        <v>59</v>
      </c>
      <c r="C57" s="21"/>
      <c r="D57" s="21"/>
      <c r="E57" s="22">
        <f>[1]cansole2!$B$5</f>
        <v>100000</v>
      </c>
      <c r="F57" s="22">
        <f>[1]cansole2!$C$5</f>
        <v>150001</v>
      </c>
      <c r="G57" s="22">
        <f>[1]cansole2!$D$5</f>
        <v>150000</v>
      </c>
      <c r="H57" s="22">
        <f>[1]cansole2!$E$5</f>
        <v>180003</v>
      </c>
    </row>
    <row r="58" spans="1:8" hidden="1" outlineLevel="1" collapsed="1">
      <c r="A58" s="21"/>
      <c r="B58" s="21" t="s">
        <v>59</v>
      </c>
      <c r="C58" s="21"/>
      <c r="D58" s="21"/>
      <c r="E58" s="22">
        <f>[1]cansole3!$B$5</f>
        <v>150000</v>
      </c>
      <c r="F58" s="22">
        <f>[1]cansole3!$C$5</f>
        <v>160001</v>
      </c>
      <c r="G58" s="22">
        <f>[1]cansole3!$D$5</f>
        <v>180000</v>
      </c>
      <c r="H58" s="22">
        <f>[1]cansole3!$E$5</f>
        <v>170003</v>
      </c>
    </row>
    <row r="59" spans="1:8" collapsed="1">
      <c r="A59" s="21" t="s">
        <v>48</v>
      </c>
      <c r="B59" s="21"/>
      <c r="C59" s="21"/>
      <c r="D59" s="21"/>
      <c r="E59" s="22">
        <f>MAX(E56:E58)</f>
        <v>150000</v>
      </c>
      <c r="F59" s="22">
        <f>MAX(F56:F58)</f>
        <v>160001</v>
      </c>
      <c r="G59" s="22">
        <f>MAX(G56:G58)</f>
        <v>180000</v>
      </c>
      <c r="H59" s="22">
        <f>MAX(H56:H58)</f>
        <v>180003</v>
      </c>
    </row>
    <row r="60" spans="1:8" hidden="1" outlineLevel="1">
      <c r="A60" s="21"/>
      <c r="B60" s="21" t="s">
        <v>59</v>
      </c>
      <c r="C60" s="21"/>
      <c r="D60" s="21"/>
      <c r="E60" s="22">
        <f>[1]cansole1!$B$6</f>
        <v>40000</v>
      </c>
      <c r="F60" s="22">
        <f>[1]cansole1!$C$6</f>
        <v>50001</v>
      </c>
      <c r="G60" s="22">
        <f>[1]cansole1!$D$6</f>
        <v>40006</v>
      </c>
      <c r="H60" s="22">
        <f>[1]cansole1!$E$6</f>
        <v>60007</v>
      </c>
    </row>
    <row r="61" spans="1:8" hidden="1" outlineLevel="1" collapsed="1">
      <c r="A61" s="21"/>
      <c r="B61" s="21" t="s">
        <v>59</v>
      </c>
      <c r="C61" s="21"/>
      <c r="D61" s="21"/>
      <c r="E61" s="22">
        <f>[1]cansole2!$B$6</f>
        <v>20000</v>
      </c>
      <c r="F61" s="22">
        <f>[1]cansole2!$C$6</f>
        <v>50001</v>
      </c>
      <c r="G61" s="22">
        <f>[1]cansole2!$D$6</f>
        <v>30006</v>
      </c>
      <c r="H61" s="22">
        <f>[1]cansole2!$E$6</f>
        <v>70007</v>
      </c>
    </row>
    <row r="62" spans="1:8" hidden="1" outlineLevel="1" collapsed="1">
      <c r="A62" s="21"/>
      <c r="B62" s="21" t="s">
        <v>59</v>
      </c>
      <c r="C62" s="21"/>
      <c r="D62" s="21"/>
      <c r="E62" s="22">
        <f>[1]cansole3!$B$6</f>
        <v>20000</v>
      </c>
      <c r="F62" s="22">
        <f>[1]cansole3!$C$6</f>
        <v>70001</v>
      </c>
      <c r="G62" s="22">
        <f>[1]cansole3!$D$6</f>
        <v>40006</v>
      </c>
      <c r="H62" s="22">
        <f>[1]cansole3!$E$6</f>
        <v>60007</v>
      </c>
    </row>
    <row r="63" spans="1:8" collapsed="1">
      <c r="A63" s="21" t="s">
        <v>49</v>
      </c>
      <c r="B63" s="21"/>
      <c r="C63" s="21"/>
      <c r="D63" s="21"/>
      <c r="E63" s="22">
        <f>MAX(E60:E62)</f>
        <v>40000</v>
      </c>
      <c r="F63" s="22">
        <f>MAX(F60:F62)</f>
        <v>70001</v>
      </c>
      <c r="G63" s="22">
        <f>MAX(G60:G62)</f>
        <v>40006</v>
      </c>
      <c r="H63" s="22">
        <f>MAX(H60:H62)</f>
        <v>70007</v>
      </c>
    </row>
    <row r="64" spans="1:8" hidden="1" outlineLevel="1">
      <c r="A64" s="21"/>
      <c r="B64" s="21" t="s">
        <v>59</v>
      </c>
      <c r="C64" s="21"/>
      <c r="D64" s="21"/>
      <c r="E64" s="22">
        <f>[1]cansole1!$B$7</f>
        <v>90000</v>
      </c>
      <c r="F64" s="22">
        <f>[1]cansole1!$C$7</f>
        <v>100001</v>
      </c>
      <c r="G64" s="22">
        <f>[1]cansole1!$D$7</f>
        <v>80002</v>
      </c>
      <c r="H64" s="22">
        <f>[1]cansole1!$E$7</f>
        <v>85003</v>
      </c>
    </row>
    <row r="65" spans="1:8" hidden="1" outlineLevel="1" collapsed="1">
      <c r="A65" s="21"/>
      <c r="B65" s="21" t="s">
        <v>59</v>
      </c>
      <c r="C65" s="21"/>
      <c r="D65" s="21"/>
      <c r="E65" s="22">
        <f>[1]cansole2!$B$7</f>
        <v>100000</v>
      </c>
      <c r="F65" s="22">
        <f>[1]cansole2!$C$7</f>
        <v>100001</v>
      </c>
      <c r="G65" s="22">
        <f>[1]cansole2!$D$7</f>
        <v>80002</v>
      </c>
      <c r="H65" s="22">
        <f>[1]cansole2!$E$7</f>
        <v>95003</v>
      </c>
    </row>
    <row r="66" spans="1:8" hidden="1" outlineLevel="1" collapsed="1">
      <c r="A66" s="21"/>
      <c r="B66" s="21" t="s">
        <v>59</v>
      </c>
      <c r="C66" s="21"/>
      <c r="D66" s="21"/>
      <c r="E66" s="22">
        <f>[1]cansole3!$B$7</f>
        <v>70000</v>
      </c>
      <c r="F66" s="22">
        <f>[1]cansole3!$C$7</f>
        <v>100001</v>
      </c>
      <c r="G66" s="22">
        <f>[1]cansole3!$D$7</f>
        <v>180002</v>
      </c>
      <c r="H66" s="22">
        <f>[1]cansole3!$E$7</f>
        <v>85003</v>
      </c>
    </row>
    <row r="67" spans="1:8" collapsed="1">
      <c r="A67" s="21" t="s">
        <v>50</v>
      </c>
      <c r="B67" s="21"/>
      <c r="C67" s="21"/>
      <c r="D67" s="21"/>
      <c r="E67" s="22">
        <f>MAX(E64:E66)</f>
        <v>100000</v>
      </c>
      <c r="F67" s="22">
        <f>MAX(F64:F66)</f>
        <v>100001</v>
      </c>
      <c r="G67" s="22">
        <f>MAX(G64:G66)</f>
        <v>180002</v>
      </c>
      <c r="H67" s="22">
        <f>MAX(H64:H66)</f>
        <v>95003</v>
      </c>
    </row>
    <row r="68" spans="1:8" hidden="1" outlineLevel="1">
      <c r="A68" s="21"/>
      <c r="B68" s="21" t="s">
        <v>59</v>
      </c>
      <c r="C68" s="21"/>
      <c r="D68" s="21"/>
      <c r="E68" s="22">
        <f>[1]cansole1!$B$8</f>
        <v>23000</v>
      </c>
      <c r="F68" s="22">
        <f>[1]cansole1!$C$8</f>
        <v>25001</v>
      </c>
      <c r="G68" s="22">
        <f>[1]cansole1!$D$8</f>
        <v>25002</v>
      </c>
      <c r="H68" s="22">
        <f>[1]cansole1!$E$8</f>
        <v>33003</v>
      </c>
    </row>
    <row r="69" spans="1:8" hidden="1" outlineLevel="1" collapsed="1">
      <c r="A69" s="21"/>
      <c r="B69" s="21" t="s">
        <v>59</v>
      </c>
      <c r="C69" s="21"/>
      <c r="D69" s="21"/>
      <c r="E69" s="22">
        <f>[1]cansole2!$B$8</f>
        <v>20000</v>
      </c>
      <c r="F69" s="22">
        <f>[1]cansole2!$C$8</f>
        <v>35001</v>
      </c>
      <c r="G69" s="22">
        <f>[1]cansole2!$D$8</f>
        <v>35002</v>
      </c>
      <c r="H69" s="22">
        <f>[1]cansole2!$E$8</f>
        <v>43003</v>
      </c>
    </row>
    <row r="70" spans="1:8" hidden="1" outlineLevel="1" collapsed="1">
      <c r="A70" s="21"/>
      <c r="B70" s="21" t="s">
        <v>59</v>
      </c>
      <c r="C70" s="21"/>
      <c r="D70" s="21"/>
      <c r="E70" s="22">
        <f>[1]cansole3!$B$8</f>
        <v>20000</v>
      </c>
      <c r="F70" s="22">
        <f>[1]cansole3!$C$8</f>
        <v>24001</v>
      </c>
      <c r="G70" s="22">
        <f>[1]cansole3!$D$8</f>
        <v>35002</v>
      </c>
      <c r="H70" s="22">
        <f>[1]cansole3!$E$8</f>
        <v>33003</v>
      </c>
    </row>
    <row r="71" spans="1:8" collapsed="1">
      <c r="A71" s="21" t="s">
        <v>51</v>
      </c>
      <c r="B71" s="21"/>
      <c r="C71" s="21"/>
      <c r="D71" s="21"/>
      <c r="E71" s="22">
        <f>MAX(E68:E70)</f>
        <v>23000</v>
      </c>
      <c r="F71" s="22">
        <f>MAX(F68:F70)</f>
        <v>35001</v>
      </c>
      <c r="G71" s="22">
        <f>MAX(G68:G70)</f>
        <v>35002</v>
      </c>
      <c r="H71" s="22">
        <f>MAX(H68:H70)</f>
        <v>43003</v>
      </c>
    </row>
    <row r="76" spans="1:8">
      <c r="B76" s="47" t="s">
        <v>62</v>
      </c>
      <c r="C76" s="48"/>
      <c r="D76" s="49"/>
      <c r="E76" s="21" t="s">
        <v>52</v>
      </c>
      <c r="F76" s="21" t="s">
        <v>53</v>
      </c>
      <c r="G76" s="21" t="s">
        <v>54</v>
      </c>
      <c r="H76" s="21" t="s">
        <v>55</v>
      </c>
    </row>
    <row r="77" spans="1:8" hidden="1" outlineLevel="1">
      <c r="B77" s="21"/>
      <c r="C77" s="21" t="s">
        <v>59</v>
      </c>
      <c r="D77" s="21"/>
      <c r="E77" s="22">
        <f>[1]cansole1!$B$3</f>
        <v>200000</v>
      </c>
      <c r="F77" s="22">
        <f>[1]cansole1!$C$3</f>
        <v>200005</v>
      </c>
      <c r="G77" s="22">
        <f>[1]cansole1!$D$3</f>
        <v>400000</v>
      </c>
      <c r="H77" s="22">
        <f>[1]cansole1!$E$3</f>
        <v>420000</v>
      </c>
    </row>
    <row r="78" spans="1:8" hidden="1" outlineLevel="1" collapsed="1">
      <c r="B78" s="21"/>
      <c r="C78" s="21" t="s">
        <v>59</v>
      </c>
      <c r="D78" s="21"/>
      <c r="E78" s="22">
        <f>[1]cansole2!$B$3</f>
        <v>100000</v>
      </c>
      <c r="F78" s="22">
        <f>[1]cansole2!$C$3</f>
        <v>100005</v>
      </c>
      <c r="G78" s="22">
        <f>[1]cansole2!$D$3</f>
        <v>200000</v>
      </c>
      <c r="H78" s="22">
        <f>[1]cansole2!$E$3</f>
        <v>320000</v>
      </c>
    </row>
    <row r="79" spans="1:8" hidden="1" outlineLevel="1" collapsed="1">
      <c r="B79" s="21"/>
      <c r="C79" s="21" t="s">
        <v>59</v>
      </c>
      <c r="D79" s="21"/>
      <c r="E79" s="22">
        <f>[1]cansole3!$B$3</f>
        <v>50000</v>
      </c>
      <c r="F79" s="22">
        <f>[1]cansole3!$C$3</f>
        <v>100005</v>
      </c>
      <c r="G79" s="22">
        <f>[1]cansole3!$D$3</f>
        <v>200000</v>
      </c>
      <c r="H79" s="22">
        <f>[1]cansole3!$E$3</f>
        <v>450000</v>
      </c>
    </row>
    <row r="80" spans="1:8" collapsed="1">
      <c r="B80" s="21" t="s">
        <v>46</v>
      </c>
      <c r="C80" s="21"/>
      <c r="D80" s="21"/>
      <c r="E80" s="22">
        <f>MIN(E77:E79)</f>
        <v>50000</v>
      </c>
      <c r="F80" s="22">
        <f>MIN(F77:F79)</f>
        <v>100005</v>
      </c>
      <c r="G80" s="22">
        <f>MIN(G77:G79)</f>
        <v>200000</v>
      </c>
      <c r="H80" s="22">
        <f>MIN(H77:H79)</f>
        <v>320000</v>
      </c>
    </row>
    <row r="81" spans="2:8" hidden="1" outlineLevel="1">
      <c r="B81" s="21"/>
      <c r="C81" s="21" t="s">
        <v>59</v>
      </c>
      <c r="D81" s="21"/>
      <c r="E81" s="22">
        <f>[1]cansole1!$B$4</f>
        <v>300000</v>
      </c>
      <c r="F81" s="22">
        <f>[1]cansole1!$C$4</f>
        <v>350000</v>
      </c>
      <c r="G81" s="22">
        <f>[1]cansole1!$D$4</f>
        <v>200000</v>
      </c>
      <c r="H81" s="22">
        <f>[1]cansole1!$E$4</f>
        <v>500000</v>
      </c>
    </row>
    <row r="82" spans="2:8" hidden="1" outlineLevel="1" collapsed="1">
      <c r="B82" s="21"/>
      <c r="C82" s="21" t="s">
        <v>59</v>
      </c>
      <c r="D82" s="21"/>
      <c r="E82" s="22">
        <f>[1]cansole2!$B$4</f>
        <v>200000</v>
      </c>
      <c r="F82" s="22">
        <f>[1]cansole2!$C$4</f>
        <v>320000</v>
      </c>
      <c r="G82" s="22">
        <f>[1]cansole2!$D$4</f>
        <v>300000</v>
      </c>
      <c r="H82" s="22">
        <f>[1]cansole2!$E$4</f>
        <v>700000</v>
      </c>
    </row>
    <row r="83" spans="2:8" hidden="1" outlineLevel="1" collapsed="1">
      <c r="B83" s="21"/>
      <c r="C83" s="21" t="s">
        <v>59</v>
      </c>
      <c r="D83" s="21"/>
      <c r="E83" s="22">
        <f>[1]cansole3!$B$4</f>
        <v>200000</v>
      </c>
      <c r="F83" s="22">
        <f>[1]cansole3!$C$4</f>
        <v>350000</v>
      </c>
      <c r="G83" s="22">
        <f>[1]cansole3!$D$4</f>
        <v>300000</v>
      </c>
      <c r="H83" s="22">
        <f>[1]cansole3!$E$4</f>
        <v>400000</v>
      </c>
    </row>
    <row r="84" spans="2:8" collapsed="1">
      <c r="B84" s="21" t="s">
        <v>47</v>
      </c>
      <c r="C84" s="21"/>
      <c r="D84" s="21"/>
      <c r="E84" s="22">
        <f>MIN(E81:E83)</f>
        <v>200000</v>
      </c>
      <c r="F84" s="22">
        <f>MIN(F81:F83)</f>
        <v>320000</v>
      </c>
      <c r="G84" s="22">
        <f>MIN(G81:G83)</f>
        <v>200000</v>
      </c>
      <c r="H84" s="22">
        <f>MIN(H81:H83)</f>
        <v>400000</v>
      </c>
    </row>
    <row r="85" spans="2:8" hidden="1" outlineLevel="1">
      <c r="B85" s="21"/>
      <c r="C85" s="21" t="s">
        <v>59</v>
      </c>
      <c r="D85" s="21"/>
      <c r="E85" s="22">
        <f>[1]cansole1!$B$5</f>
        <v>120000</v>
      </c>
      <c r="F85" s="22">
        <f>[1]cansole1!$C$5</f>
        <v>120001</v>
      </c>
      <c r="G85" s="22">
        <f>[1]cansole1!$D$5</f>
        <v>150000</v>
      </c>
      <c r="H85" s="22">
        <f>[1]cansole1!$E$5</f>
        <v>160003</v>
      </c>
    </row>
    <row r="86" spans="2:8" hidden="1" outlineLevel="1" collapsed="1">
      <c r="B86" s="21"/>
      <c r="C86" s="21" t="s">
        <v>59</v>
      </c>
      <c r="D86" s="21"/>
      <c r="E86" s="22">
        <f>[1]cansole2!$B$5</f>
        <v>100000</v>
      </c>
      <c r="F86" s="22">
        <f>[1]cansole2!$C$5</f>
        <v>150001</v>
      </c>
      <c r="G86" s="22">
        <f>[1]cansole2!$D$5</f>
        <v>150000</v>
      </c>
      <c r="H86" s="22">
        <f>[1]cansole2!$E$5</f>
        <v>180003</v>
      </c>
    </row>
    <row r="87" spans="2:8" hidden="1" outlineLevel="1" collapsed="1">
      <c r="B87" s="21"/>
      <c r="C87" s="21" t="s">
        <v>59</v>
      </c>
      <c r="D87" s="21"/>
      <c r="E87" s="22">
        <f>[1]cansole3!$B$5</f>
        <v>150000</v>
      </c>
      <c r="F87" s="22">
        <f>[1]cansole3!$C$5</f>
        <v>160001</v>
      </c>
      <c r="G87" s="22">
        <f>[1]cansole3!$D$5</f>
        <v>180000</v>
      </c>
      <c r="H87" s="22">
        <f>[1]cansole3!$E$5</f>
        <v>170003</v>
      </c>
    </row>
    <row r="88" spans="2:8" collapsed="1">
      <c r="B88" s="21" t="s">
        <v>48</v>
      </c>
      <c r="C88" s="21"/>
      <c r="D88" s="21"/>
      <c r="E88" s="22">
        <f>MIN(E85:E87)</f>
        <v>100000</v>
      </c>
      <c r="F88" s="22">
        <f>MIN(F85:F87)</f>
        <v>120001</v>
      </c>
      <c r="G88" s="22">
        <f>MIN(G85:G87)</f>
        <v>150000</v>
      </c>
      <c r="H88" s="22">
        <f>MIN(H85:H87)</f>
        <v>160003</v>
      </c>
    </row>
    <row r="89" spans="2:8" hidden="1" outlineLevel="1">
      <c r="B89" s="21"/>
      <c r="C89" s="21" t="s">
        <v>59</v>
      </c>
      <c r="D89" s="21"/>
      <c r="E89" s="22">
        <f>[1]cansole1!$B$6</f>
        <v>40000</v>
      </c>
      <c r="F89" s="22">
        <f>[1]cansole1!$C$6</f>
        <v>50001</v>
      </c>
      <c r="G89" s="22">
        <f>[1]cansole1!$D$6</f>
        <v>40006</v>
      </c>
      <c r="H89" s="22">
        <f>[1]cansole1!$E$6</f>
        <v>60007</v>
      </c>
    </row>
    <row r="90" spans="2:8" hidden="1" outlineLevel="1" collapsed="1">
      <c r="B90" s="21"/>
      <c r="C90" s="21" t="s">
        <v>59</v>
      </c>
      <c r="D90" s="21"/>
      <c r="E90" s="22">
        <f>[1]cansole2!$B$6</f>
        <v>20000</v>
      </c>
      <c r="F90" s="22">
        <f>[1]cansole2!$C$6</f>
        <v>50001</v>
      </c>
      <c r="G90" s="22">
        <f>[1]cansole2!$D$6</f>
        <v>30006</v>
      </c>
      <c r="H90" s="22">
        <f>[1]cansole2!$E$6</f>
        <v>70007</v>
      </c>
    </row>
    <row r="91" spans="2:8" hidden="1" outlineLevel="1" collapsed="1">
      <c r="B91" s="21"/>
      <c r="C91" s="21" t="s">
        <v>59</v>
      </c>
      <c r="D91" s="21"/>
      <c r="E91" s="22">
        <f>[1]cansole3!$B$6</f>
        <v>20000</v>
      </c>
      <c r="F91" s="22">
        <f>[1]cansole3!$C$6</f>
        <v>70001</v>
      </c>
      <c r="G91" s="22">
        <f>[1]cansole3!$D$6</f>
        <v>40006</v>
      </c>
      <c r="H91" s="22">
        <f>[1]cansole3!$E$6</f>
        <v>60007</v>
      </c>
    </row>
    <row r="92" spans="2:8" collapsed="1">
      <c r="B92" s="21" t="s">
        <v>49</v>
      </c>
      <c r="C92" s="21"/>
      <c r="D92" s="21"/>
      <c r="E92" s="22">
        <f>MIN(E89:E91)</f>
        <v>20000</v>
      </c>
      <c r="F92" s="22">
        <f>MIN(F89:F91)</f>
        <v>50001</v>
      </c>
      <c r="G92" s="22">
        <f>MIN(G89:G91)</f>
        <v>30006</v>
      </c>
      <c r="H92" s="22">
        <f>MIN(H89:H91)</f>
        <v>60007</v>
      </c>
    </row>
    <row r="93" spans="2:8" hidden="1" outlineLevel="1">
      <c r="B93" s="21"/>
      <c r="C93" s="21" t="s">
        <v>59</v>
      </c>
      <c r="D93" s="21"/>
      <c r="E93" s="22">
        <f>[1]cansole1!$B$7</f>
        <v>90000</v>
      </c>
      <c r="F93" s="22">
        <f>[1]cansole1!$C$7</f>
        <v>100001</v>
      </c>
      <c r="G93" s="22">
        <f>[1]cansole1!$D$7</f>
        <v>80002</v>
      </c>
      <c r="H93" s="22">
        <f>[1]cansole1!$E$7</f>
        <v>85003</v>
      </c>
    </row>
    <row r="94" spans="2:8" hidden="1" outlineLevel="1" collapsed="1">
      <c r="B94" s="21"/>
      <c r="C94" s="21" t="s">
        <v>59</v>
      </c>
      <c r="D94" s="21"/>
      <c r="E94" s="22">
        <f>[1]cansole2!$B$7</f>
        <v>100000</v>
      </c>
      <c r="F94" s="22">
        <f>[1]cansole2!$C$7</f>
        <v>100001</v>
      </c>
      <c r="G94" s="22">
        <f>[1]cansole2!$D$7</f>
        <v>80002</v>
      </c>
      <c r="H94" s="22">
        <f>[1]cansole2!$E$7</f>
        <v>95003</v>
      </c>
    </row>
    <row r="95" spans="2:8" hidden="1" outlineLevel="1" collapsed="1">
      <c r="B95" s="21"/>
      <c r="C95" s="21" t="s">
        <v>59</v>
      </c>
      <c r="D95" s="21"/>
      <c r="E95" s="22">
        <f>[1]cansole3!$B$7</f>
        <v>70000</v>
      </c>
      <c r="F95" s="22">
        <f>[1]cansole3!$C$7</f>
        <v>100001</v>
      </c>
      <c r="G95" s="22">
        <f>[1]cansole3!$D$7</f>
        <v>180002</v>
      </c>
      <c r="H95" s="22">
        <f>[1]cansole3!$E$7</f>
        <v>85003</v>
      </c>
    </row>
    <row r="96" spans="2:8" collapsed="1">
      <c r="B96" s="21" t="s">
        <v>50</v>
      </c>
      <c r="C96" s="21"/>
      <c r="D96" s="21"/>
      <c r="E96" s="22">
        <f>MIN(E93:E95)</f>
        <v>70000</v>
      </c>
      <c r="F96" s="22">
        <f>MIN(F93:F95)</f>
        <v>100001</v>
      </c>
      <c r="G96" s="22">
        <f>MIN(G93:G95)</f>
        <v>80002</v>
      </c>
      <c r="H96" s="22">
        <f>MIN(H93:H95)</f>
        <v>85003</v>
      </c>
    </row>
    <row r="97" spans="2:8" hidden="1" outlineLevel="1">
      <c r="B97" s="21"/>
      <c r="C97" s="21" t="s">
        <v>59</v>
      </c>
      <c r="D97" s="21"/>
      <c r="E97" s="22">
        <f>[1]cansole1!$B$8</f>
        <v>23000</v>
      </c>
      <c r="F97" s="22">
        <f>[1]cansole1!$C$8</f>
        <v>25001</v>
      </c>
      <c r="G97" s="22">
        <f>[1]cansole1!$D$8</f>
        <v>25002</v>
      </c>
      <c r="H97" s="22">
        <f>[1]cansole1!$E$8</f>
        <v>33003</v>
      </c>
    </row>
    <row r="98" spans="2:8" hidden="1" outlineLevel="1" collapsed="1">
      <c r="B98" s="21"/>
      <c r="C98" s="21" t="s">
        <v>59</v>
      </c>
      <c r="D98" s="21"/>
      <c r="E98" s="22">
        <f>[1]cansole2!$B$8</f>
        <v>20000</v>
      </c>
      <c r="F98" s="22">
        <f>[1]cansole2!$C$8</f>
        <v>35001</v>
      </c>
      <c r="G98" s="22">
        <f>[1]cansole2!$D$8</f>
        <v>35002</v>
      </c>
      <c r="H98" s="22">
        <f>[1]cansole2!$E$8</f>
        <v>43003</v>
      </c>
    </row>
    <row r="99" spans="2:8" hidden="1" outlineLevel="1" collapsed="1">
      <c r="B99" s="21"/>
      <c r="C99" s="21" t="s">
        <v>59</v>
      </c>
      <c r="D99" s="21"/>
      <c r="E99" s="22">
        <f>[1]cansole3!$B$8</f>
        <v>20000</v>
      </c>
      <c r="F99" s="22">
        <f>[1]cansole3!$C$8</f>
        <v>24001</v>
      </c>
      <c r="G99" s="22">
        <f>[1]cansole3!$D$8</f>
        <v>35002</v>
      </c>
      <c r="H99" s="22">
        <f>[1]cansole3!$E$8</f>
        <v>33003</v>
      </c>
    </row>
    <row r="100" spans="2:8" collapsed="1">
      <c r="B100" s="21" t="s">
        <v>51</v>
      </c>
      <c r="C100" s="21"/>
      <c r="D100" s="21"/>
      <c r="E100" s="22">
        <f>MIN(E97:E99)</f>
        <v>20000</v>
      </c>
      <c r="F100" s="22">
        <f>MIN(F97:F99)</f>
        <v>24001</v>
      </c>
      <c r="G100" s="22">
        <f>MIN(G97:G99)</f>
        <v>25002</v>
      </c>
      <c r="H100" s="22">
        <f>MIN(H97:H99)</f>
        <v>33003</v>
      </c>
    </row>
    <row r="103" spans="2:8">
      <c r="B103" s="50" t="s">
        <v>63</v>
      </c>
      <c r="C103" s="50"/>
      <c r="D103" s="50"/>
      <c r="E103" s="21" t="s">
        <v>52</v>
      </c>
      <c r="F103" s="21" t="s">
        <v>53</v>
      </c>
      <c r="G103" s="21" t="s">
        <v>54</v>
      </c>
      <c r="H103" s="21" t="s">
        <v>55</v>
      </c>
    </row>
    <row r="104" spans="2:8" hidden="1" outlineLevel="1">
      <c r="C104" s="24"/>
      <c r="D104" s="24" t="s">
        <v>59</v>
      </c>
      <c r="E104" s="22">
        <f>[1]cansole1!$B$3</f>
        <v>200000</v>
      </c>
      <c r="F104" s="22">
        <f>[1]cansole1!$C$3</f>
        <v>200005</v>
      </c>
      <c r="G104" s="22">
        <f>[1]cansole1!$D$3</f>
        <v>400000</v>
      </c>
      <c r="H104" s="22">
        <f>[1]cansole1!$E$3</f>
        <v>420000</v>
      </c>
    </row>
    <row r="105" spans="2:8" hidden="1" outlineLevel="1" collapsed="1">
      <c r="C105" s="21"/>
      <c r="D105" s="21" t="s">
        <v>59</v>
      </c>
      <c r="E105" s="22">
        <f>[1]cansole2!$B$3</f>
        <v>100000</v>
      </c>
      <c r="F105" s="22">
        <f>[1]cansole2!$C$3</f>
        <v>100005</v>
      </c>
      <c r="G105" s="22">
        <f>[1]cansole2!$D$3</f>
        <v>200000</v>
      </c>
      <c r="H105" s="22">
        <f>[1]cansole2!$E$3</f>
        <v>320000</v>
      </c>
    </row>
    <row r="106" spans="2:8" hidden="1" outlineLevel="1" collapsed="1">
      <c r="C106" s="21"/>
      <c r="D106" s="21" t="s">
        <v>59</v>
      </c>
      <c r="E106" s="22">
        <f>[1]cansole3!$B$3</f>
        <v>50000</v>
      </c>
      <c r="F106" s="22">
        <f>[1]cansole3!$C$3</f>
        <v>100005</v>
      </c>
      <c r="G106" s="22">
        <f>[1]cansole3!$D$3</f>
        <v>200000</v>
      </c>
      <c r="H106" s="22">
        <f>[1]cansole3!$E$3</f>
        <v>450000</v>
      </c>
    </row>
    <row r="107" spans="2:8" collapsed="1">
      <c r="C107" s="21" t="s">
        <v>46</v>
      </c>
      <c r="D107" s="21"/>
      <c r="E107" s="22">
        <f>AVERAGE(E104:E106)</f>
        <v>116666.66666666667</v>
      </c>
      <c r="F107" s="22">
        <f>AVERAGE(F104:F106)</f>
        <v>133338.33333333334</v>
      </c>
      <c r="G107" s="22">
        <f>AVERAGE(G104:G106)</f>
        <v>266666.66666666669</v>
      </c>
      <c r="H107" s="22">
        <f>AVERAGE(H104:H106)</f>
        <v>396666.66666666669</v>
      </c>
    </row>
    <row r="108" spans="2:8" hidden="1" outlineLevel="1">
      <c r="C108" s="21"/>
      <c r="D108" s="21" t="s">
        <v>59</v>
      </c>
      <c r="E108" s="22">
        <f>[1]cansole1!$B$4</f>
        <v>300000</v>
      </c>
      <c r="F108" s="22">
        <f>[1]cansole1!$C$4</f>
        <v>350000</v>
      </c>
      <c r="G108" s="22">
        <f>[1]cansole1!$D$4</f>
        <v>200000</v>
      </c>
      <c r="H108" s="22">
        <f>[1]cansole1!$E$4</f>
        <v>500000</v>
      </c>
    </row>
    <row r="109" spans="2:8" hidden="1" outlineLevel="1" collapsed="1">
      <c r="C109" s="21"/>
      <c r="D109" s="21" t="s">
        <v>59</v>
      </c>
      <c r="E109" s="22">
        <f>[1]cansole2!$B$4</f>
        <v>200000</v>
      </c>
      <c r="F109" s="22">
        <f>[1]cansole2!$C$4</f>
        <v>320000</v>
      </c>
      <c r="G109" s="22">
        <f>[1]cansole2!$D$4</f>
        <v>300000</v>
      </c>
      <c r="H109" s="22">
        <f>[1]cansole2!$E$4</f>
        <v>700000</v>
      </c>
    </row>
    <row r="110" spans="2:8" hidden="1" outlineLevel="1" collapsed="1">
      <c r="C110" s="21"/>
      <c r="D110" s="21" t="s">
        <v>59</v>
      </c>
      <c r="E110" s="22">
        <f>[1]cansole3!$B$4</f>
        <v>200000</v>
      </c>
      <c r="F110" s="22">
        <f>[1]cansole3!$C$4</f>
        <v>350000</v>
      </c>
      <c r="G110" s="22">
        <f>[1]cansole3!$D$4</f>
        <v>300000</v>
      </c>
      <c r="H110" s="22">
        <f>[1]cansole3!$E$4</f>
        <v>400000</v>
      </c>
    </row>
    <row r="111" spans="2:8" collapsed="1">
      <c r="C111" s="21" t="s">
        <v>47</v>
      </c>
      <c r="D111" s="21"/>
      <c r="E111" s="22">
        <f>AVERAGE(E108:E110)</f>
        <v>233333.33333333334</v>
      </c>
      <c r="F111" s="22">
        <f>AVERAGE(F108:F110)</f>
        <v>340000</v>
      </c>
      <c r="G111" s="22">
        <f>AVERAGE(G108:G110)</f>
        <v>266666.66666666669</v>
      </c>
      <c r="H111" s="22">
        <f>AVERAGE(H108:H110)</f>
        <v>533333.33333333337</v>
      </c>
    </row>
    <row r="112" spans="2:8" hidden="1" outlineLevel="1">
      <c r="C112" s="21"/>
      <c r="D112" s="21" t="s">
        <v>59</v>
      </c>
      <c r="E112" s="22">
        <f>[1]cansole1!$B$5</f>
        <v>120000</v>
      </c>
      <c r="F112" s="22">
        <f>[1]cansole1!$C$5</f>
        <v>120001</v>
      </c>
      <c r="G112" s="22">
        <f>[1]cansole1!$D$5</f>
        <v>150000</v>
      </c>
      <c r="H112" s="22">
        <f>[1]cansole1!$E$5</f>
        <v>160003</v>
      </c>
    </row>
    <row r="113" spans="3:8" hidden="1" outlineLevel="1" collapsed="1">
      <c r="C113" s="21"/>
      <c r="D113" s="21" t="s">
        <v>59</v>
      </c>
      <c r="E113" s="22">
        <f>[1]cansole2!$B$5</f>
        <v>100000</v>
      </c>
      <c r="F113" s="22">
        <f>[1]cansole2!$C$5</f>
        <v>150001</v>
      </c>
      <c r="G113" s="22">
        <f>[1]cansole2!$D$5</f>
        <v>150000</v>
      </c>
      <c r="H113" s="22">
        <f>[1]cansole2!$E$5</f>
        <v>180003</v>
      </c>
    </row>
    <row r="114" spans="3:8" hidden="1" outlineLevel="1" collapsed="1">
      <c r="C114" s="21"/>
      <c r="D114" s="21" t="s">
        <v>59</v>
      </c>
      <c r="E114" s="22">
        <f>[1]cansole3!$B$5</f>
        <v>150000</v>
      </c>
      <c r="F114" s="22">
        <f>[1]cansole3!$C$5</f>
        <v>160001</v>
      </c>
      <c r="G114" s="22">
        <f>[1]cansole3!$D$5</f>
        <v>180000</v>
      </c>
      <c r="H114" s="22">
        <f>[1]cansole3!$E$5</f>
        <v>170003</v>
      </c>
    </row>
    <row r="115" spans="3:8" collapsed="1">
      <c r="C115" s="21" t="s">
        <v>48</v>
      </c>
      <c r="D115" s="21"/>
      <c r="E115" s="22">
        <f>AVERAGE(E112:E114)</f>
        <v>123333.33333333333</v>
      </c>
      <c r="F115" s="22">
        <f>AVERAGE(F112:F114)</f>
        <v>143334.33333333334</v>
      </c>
      <c r="G115" s="22">
        <f>AVERAGE(G112:G114)</f>
        <v>160000</v>
      </c>
      <c r="H115" s="22">
        <f>AVERAGE(H112:H114)</f>
        <v>170003</v>
      </c>
    </row>
    <row r="116" spans="3:8" hidden="1" outlineLevel="1">
      <c r="C116" s="21"/>
      <c r="D116" s="21" t="s">
        <v>59</v>
      </c>
      <c r="E116" s="22">
        <f>[1]cansole1!$B$6</f>
        <v>40000</v>
      </c>
      <c r="F116" s="22">
        <f>[1]cansole1!$C$6</f>
        <v>50001</v>
      </c>
      <c r="G116" s="22">
        <f>[1]cansole1!$D$6</f>
        <v>40006</v>
      </c>
      <c r="H116" s="22">
        <f>[1]cansole1!$E$6</f>
        <v>60007</v>
      </c>
    </row>
    <row r="117" spans="3:8" hidden="1" outlineLevel="1" collapsed="1">
      <c r="C117" s="21"/>
      <c r="D117" s="21" t="s">
        <v>59</v>
      </c>
      <c r="E117" s="22">
        <f>[1]cansole2!$B$6</f>
        <v>20000</v>
      </c>
      <c r="F117" s="22">
        <f>[1]cansole2!$C$6</f>
        <v>50001</v>
      </c>
      <c r="G117" s="22">
        <f>[1]cansole2!$D$6</f>
        <v>30006</v>
      </c>
      <c r="H117" s="22">
        <f>[1]cansole2!$E$6</f>
        <v>70007</v>
      </c>
    </row>
    <row r="118" spans="3:8" hidden="1" outlineLevel="1" collapsed="1">
      <c r="C118" s="21"/>
      <c r="D118" s="21" t="s">
        <v>59</v>
      </c>
      <c r="E118" s="22">
        <f>[1]cansole3!$B$6</f>
        <v>20000</v>
      </c>
      <c r="F118" s="22">
        <f>[1]cansole3!$C$6</f>
        <v>70001</v>
      </c>
      <c r="G118" s="22">
        <f>[1]cansole3!$D$6</f>
        <v>40006</v>
      </c>
      <c r="H118" s="22">
        <f>[1]cansole3!$E$6</f>
        <v>60007</v>
      </c>
    </row>
    <row r="119" spans="3:8" collapsed="1">
      <c r="C119" s="21" t="s">
        <v>49</v>
      </c>
      <c r="D119" s="21"/>
      <c r="E119" s="22">
        <f>AVERAGE(E116:E118)</f>
        <v>26666.666666666668</v>
      </c>
      <c r="F119" s="22">
        <f>AVERAGE(F116:F118)</f>
        <v>56667.666666666664</v>
      </c>
      <c r="G119" s="22">
        <f>AVERAGE(G116:G118)</f>
        <v>36672.666666666664</v>
      </c>
      <c r="H119" s="22">
        <f>AVERAGE(H116:H118)</f>
        <v>63340.333333333336</v>
      </c>
    </row>
    <row r="120" spans="3:8" hidden="1" outlineLevel="1">
      <c r="C120" s="21"/>
      <c r="D120" s="21" t="s">
        <v>59</v>
      </c>
      <c r="E120" s="22">
        <f>[1]cansole1!$B$7</f>
        <v>90000</v>
      </c>
      <c r="F120" s="22">
        <f>[1]cansole1!$C$7</f>
        <v>100001</v>
      </c>
      <c r="G120" s="22">
        <f>[1]cansole1!$D$7</f>
        <v>80002</v>
      </c>
      <c r="H120" s="22">
        <f>[1]cansole1!$E$7</f>
        <v>85003</v>
      </c>
    </row>
    <row r="121" spans="3:8" hidden="1" outlineLevel="1" collapsed="1">
      <c r="C121" s="21"/>
      <c r="D121" s="21" t="s">
        <v>59</v>
      </c>
      <c r="E121" s="22">
        <f>[1]cansole2!$B$7</f>
        <v>100000</v>
      </c>
      <c r="F121" s="22">
        <f>[1]cansole2!$C$7</f>
        <v>100001</v>
      </c>
      <c r="G121" s="22">
        <f>[1]cansole2!$D$7</f>
        <v>80002</v>
      </c>
      <c r="H121" s="22">
        <f>[1]cansole2!$E$7</f>
        <v>95003</v>
      </c>
    </row>
    <row r="122" spans="3:8" hidden="1" outlineLevel="1" collapsed="1">
      <c r="C122" s="21"/>
      <c r="D122" s="21" t="s">
        <v>59</v>
      </c>
      <c r="E122" s="22">
        <f>[1]cansole3!$B$7</f>
        <v>70000</v>
      </c>
      <c r="F122" s="22">
        <f>[1]cansole3!$C$7</f>
        <v>100001</v>
      </c>
      <c r="G122" s="22">
        <f>[1]cansole3!$D$7</f>
        <v>180002</v>
      </c>
      <c r="H122" s="22">
        <f>[1]cansole3!$E$7</f>
        <v>85003</v>
      </c>
    </row>
    <row r="123" spans="3:8" collapsed="1">
      <c r="C123" s="21" t="s">
        <v>50</v>
      </c>
      <c r="D123" s="21"/>
      <c r="E123" s="22">
        <f>AVERAGE(E120:E122)</f>
        <v>86666.666666666672</v>
      </c>
      <c r="F123" s="22">
        <f>AVERAGE(F120:F122)</f>
        <v>100001</v>
      </c>
      <c r="G123" s="22">
        <f>AVERAGE(G120:G122)</f>
        <v>113335.33333333333</v>
      </c>
      <c r="H123" s="22">
        <f>AVERAGE(H120:H122)</f>
        <v>88336.333333333328</v>
      </c>
    </row>
    <row r="124" spans="3:8" hidden="1" outlineLevel="1">
      <c r="C124" s="21"/>
      <c r="D124" s="21" t="s">
        <v>59</v>
      </c>
      <c r="E124" s="22">
        <f>[1]cansole1!$B$8</f>
        <v>23000</v>
      </c>
      <c r="F124" s="22">
        <f>[1]cansole1!$C$8</f>
        <v>25001</v>
      </c>
      <c r="G124" s="22">
        <f>[1]cansole1!$D$8</f>
        <v>25002</v>
      </c>
      <c r="H124" s="22">
        <f>[1]cansole1!$E$8</f>
        <v>33003</v>
      </c>
    </row>
    <row r="125" spans="3:8" hidden="1" outlineLevel="1" collapsed="1">
      <c r="C125" s="21"/>
      <c r="D125" s="21" t="s">
        <v>59</v>
      </c>
      <c r="E125" s="22">
        <f>[1]cansole2!$B$8</f>
        <v>20000</v>
      </c>
      <c r="F125" s="22">
        <f>[1]cansole2!$C$8</f>
        <v>35001</v>
      </c>
      <c r="G125" s="22">
        <f>[1]cansole2!$D$8</f>
        <v>35002</v>
      </c>
      <c r="H125" s="22">
        <f>[1]cansole2!$E$8</f>
        <v>43003</v>
      </c>
    </row>
    <row r="126" spans="3:8" hidden="1" outlineLevel="1" collapsed="1">
      <c r="C126" s="21"/>
      <c r="D126" s="21" t="s">
        <v>59</v>
      </c>
      <c r="E126" s="22">
        <f>[1]cansole3!$B$8</f>
        <v>20000</v>
      </c>
      <c r="F126" s="22">
        <f>[1]cansole3!$C$8</f>
        <v>24001</v>
      </c>
      <c r="G126" s="22">
        <f>[1]cansole3!$D$8</f>
        <v>35002</v>
      </c>
      <c r="H126" s="22">
        <f>[1]cansole3!$E$8</f>
        <v>33003</v>
      </c>
    </row>
    <row r="127" spans="3:8" collapsed="1">
      <c r="C127" s="21" t="s">
        <v>51</v>
      </c>
      <c r="D127" s="21"/>
      <c r="E127" s="22">
        <f>AVERAGE(E124:E126)</f>
        <v>21000</v>
      </c>
      <c r="F127" s="22">
        <f>AVERAGE(F124:F126)</f>
        <v>28001</v>
      </c>
      <c r="G127" s="22">
        <f>AVERAGE(G124:G126)</f>
        <v>31668.666666666668</v>
      </c>
      <c r="H127" s="22">
        <f>AVERAGE(H124:H126)</f>
        <v>36336.333333333336</v>
      </c>
    </row>
  </sheetData>
  <dataConsolidate function="average" topLabels="1" link="1">
    <dataRefs count="3">
      <dataRef ref="A2:E8" sheet="cansole1" r:id="rId1"/>
      <dataRef ref="A2:E8" sheet="cansole2" r:id="rId2"/>
      <dataRef ref="A2:E8" sheet="cansole3" r:id="rId3"/>
    </dataRefs>
  </dataConsolidate>
  <mergeCells count="4">
    <mergeCell ref="A1:D1"/>
    <mergeCell ref="A47:D47"/>
    <mergeCell ref="B76:D76"/>
    <mergeCell ref="B103:D10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E428-E6AD-4A79-8598-290C4B08730D}">
  <dimension ref="A1:E14"/>
  <sheetViews>
    <sheetView workbookViewId="0">
      <selection activeCell="G12" sqref="G12"/>
    </sheetView>
  </sheetViews>
  <sheetFormatPr defaultRowHeight="14.4"/>
  <sheetData>
    <row r="1" spans="1:5">
      <c r="A1" s="5" t="s">
        <v>64</v>
      </c>
      <c r="B1" s="5"/>
      <c r="C1" s="5"/>
      <c r="D1" s="5"/>
    </row>
    <row r="2" spans="1:5">
      <c r="A2">
        <f>MATCH([1]Match!$B$2,[1]Match!$A$2:$E$2,0)</f>
        <v>2</v>
      </c>
    </row>
    <row r="4" spans="1:5">
      <c r="A4" s="5" t="s">
        <v>65</v>
      </c>
      <c r="B4" s="5"/>
      <c r="C4" s="5"/>
      <c r="D4" s="5"/>
      <c r="E4" s="5"/>
    </row>
    <row r="5" spans="1:5">
      <c r="A5">
        <f>MATCH([1]Match!$A$6,[1]Match!$A$6:$E$6,0)</f>
        <v>1</v>
      </c>
    </row>
    <row r="7" spans="1:5">
      <c r="A7" s="5" t="s">
        <v>66</v>
      </c>
      <c r="B7" s="5"/>
      <c r="C7" s="5"/>
      <c r="D7" s="5"/>
    </row>
    <row r="8" spans="1:5">
      <c r="A8">
        <f>MATCH([1]Match!$E$2,[1]Match!$E$2:$E$8,0)</f>
        <v>1</v>
      </c>
    </row>
    <row r="10" spans="1:5">
      <c r="A10" s="5" t="s">
        <v>67</v>
      </c>
      <c r="B10" s="5"/>
      <c r="C10" s="5"/>
      <c r="D10" s="5"/>
    </row>
    <row r="11" spans="1:5">
      <c r="A11">
        <f>MATCH([1]Match!$E$8,[1]Match!$E$2:$E$8,0)</f>
        <v>7</v>
      </c>
    </row>
    <row r="13" spans="1:5">
      <c r="A13" s="5" t="s">
        <v>68</v>
      </c>
      <c r="B13" s="5"/>
      <c r="C13" s="5"/>
    </row>
    <row r="14" spans="1:5">
      <c r="A14">
        <f>MATCH([1]Match!$E$2,[1]Match!$E$2:$E$8,0)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city_statew</vt:lpstr>
      <vt:lpstr>Vlookup_Ans</vt:lpstr>
      <vt:lpstr>Hlookup_ans</vt:lpstr>
      <vt:lpstr>Sale_data</vt:lpstr>
      <vt:lpstr>cons</vt:lpstr>
      <vt:lpstr>cons2</vt:lpstr>
      <vt:lpstr>Match</vt:lpstr>
      <vt:lpstr>Employee</vt:lpstr>
      <vt:lpstr>Employee_2</vt:lpstr>
      <vt:lpstr>Employee2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Malgundkar</dc:creator>
  <cp:lastModifiedBy>Siddhant Shrivastav</cp:lastModifiedBy>
  <dcterms:created xsi:type="dcterms:W3CDTF">2025-12-02T13:41:19Z</dcterms:created>
  <dcterms:modified xsi:type="dcterms:W3CDTF">2025-12-24T09:46:30Z</dcterms:modified>
</cp:coreProperties>
</file>